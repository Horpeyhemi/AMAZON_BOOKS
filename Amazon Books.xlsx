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Hi-TCGS\Downloads\"/>
    </mc:Choice>
  </mc:AlternateContent>
  <xr:revisionPtr revIDLastSave="0" documentId="13_ncr:1_{750BF8BF-4731-499C-8BB5-44A09027A549}" xr6:coauthVersionLast="47" xr6:coauthVersionMax="47" xr10:uidLastSave="{00000000-0000-0000-0000-000000000000}"/>
  <bookViews>
    <workbookView xWindow="-120" yWindow="-120" windowWidth="20730" windowHeight="11160" activeTab="3" xr2:uid="{00000000-000D-0000-FFFF-FFFF00000000}"/>
  </bookViews>
  <sheets>
    <sheet name="Dataset" sheetId="1" r:id="rId1"/>
    <sheet name="Pivot Table" sheetId="2" r:id="rId2"/>
    <sheet name="Pivot chart" sheetId="5" r:id="rId3"/>
    <sheet name="Dashboard" sheetId="6" r:id="rId4"/>
  </sheets>
  <definedNames>
    <definedName name="Slicer_Author">#N/A</definedName>
    <definedName name="Slicer_Genre">#N/A</definedName>
    <definedName name="Slicer_Reviews">#N/A</definedName>
    <definedName name="Slicer_Year">#N/A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2" l="1"/>
</calcChain>
</file>

<file path=xl/sharedStrings.xml><?xml version="1.0" encoding="utf-8"?>
<sst xmlns="http://schemas.openxmlformats.org/spreadsheetml/2006/main" count="1697" uniqueCount="633">
  <si>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</si>
  <si>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</si>
  <si>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</si>
  <si>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</si>
  <si>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</si>
  <si>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</si>
  <si>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</si>
  <si>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</si>
  <si>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</si>
  <si>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</si>
  <si>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</si>
  <si>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</si>
  <si>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</si>
  <si>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</si>
  <si>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</si>
  <si>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</si>
  <si>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</si>
  <si>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</si>
  <si>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</si>
  <si>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</si>
  <si>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</si>
  <si>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</si>
  <si>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</si>
  <si>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</si>
  <si>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</si>
  <si>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</si>
  <si>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</si>
  <si>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</si>
  <si>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</si>
  <si>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</si>
  <si>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</si>
  <si>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</si>
  <si>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</si>
  <si>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</si>
  <si>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</si>
  <si>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</si>
  <si>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</si>
  <si>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</si>
  <si>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</si>
  <si>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</si>
  <si>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</si>
  <si>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</si>
  <si>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</si>
  <si>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</si>
  <si>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</si>
  <si>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</si>
  <si>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</si>
  <si>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</si>
  <si>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</si>
  <si>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</si>
  <si>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</si>
  <si>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</si>
  <si>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</si>
  <si>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</si>
  <si>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</si>
  <si>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</si>
  <si>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</si>
  <si>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</si>
  <si>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</si>
  <si>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</si>
  <si>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</si>
  <si>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</si>
  <si>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</si>
  <si>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</si>
  <si>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</si>
  <si>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</si>
  <si>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</si>
  <si>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</si>
  <si>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</si>
  <si>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</si>
  <si>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</si>
  <si>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</si>
  <si>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</si>
  <si>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</si>
  <si>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</si>
  <si>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</si>
  <si>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</si>
  <si>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</si>
  <si>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</si>
  <si>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</si>
  <si>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</si>
  <si>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</si>
  <si>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</si>
  <si>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</si>
  <si>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</si>
  <si>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</si>
  <si>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</si>
  <si>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</si>
  <si>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</si>
  <si>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</si>
  <si>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</si>
  <si>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</si>
  <si>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</si>
  <si>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</si>
  <si>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</si>
  <si>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</si>
  <si>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</si>
  <si>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</si>
  <si>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</si>
  <si>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</si>
  <si>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</si>
  <si>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</si>
  <si>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</si>
  <si>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</si>
  <si>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</si>
  <si>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</si>
  <si>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</si>
  <si>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</si>
  <si>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</si>
  <si>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</si>
  <si>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</si>
  <si>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</si>
  <si>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</si>
  <si>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</si>
  <si>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</si>
  <si>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</si>
  <si>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</si>
  <si>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</si>
  <si>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</si>
  <si>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</si>
  <si>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</si>
  <si>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</si>
  <si>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</si>
  <si>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</si>
  <si>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</si>
  <si>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</si>
  <si>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</si>
  <si>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</si>
  <si>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</si>
  <si>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</si>
  <si>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</si>
  <si>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</si>
  <si>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</si>
  <si>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</si>
  <si>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</si>
  <si>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</si>
  <si>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</si>
  <si>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</si>
  <si>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</si>
  <si>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</si>
  <si>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</si>
  <si>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</si>
  <si>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</si>
  <si>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</si>
  <si>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</si>
  <si>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</si>
  <si>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</si>
  <si>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</si>
  <si>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</si>
  <si>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</si>
  <si>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</si>
  <si>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</si>
  <si>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</si>
  <si>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</si>
  <si>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</si>
  <si>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</si>
  <si>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</si>
  <si>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</si>
  <si>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</si>
  <si>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</si>
  <si>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</si>
  <si>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</si>
  <si>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</si>
  <si>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</si>
  <si>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</si>
  <si>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</si>
  <si>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</si>
  <si>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</si>
  <si>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</si>
  <si>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</si>
  <si>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</si>
  <si>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</si>
  <si>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</si>
  <si>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</si>
  <si>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</si>
  <si>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</si>
  <si>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</si>
  <si>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</si>
  <si>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</si>
  <si>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</si>
  <si>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</si>
  <si>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</si>
  <si>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</si>
  <si>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</si>
  <si>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</si>
  <si>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</si>
  <si>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</si>
  <si>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</si>
  <si>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</si>
  <si>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</si>
  <si>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</si>
  <si>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</si>
  <si>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</si>
  <si>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</si>
  <si>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</si>
  <si>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</si>
  <si>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</si>
  <si>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</si>
  <si>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</si>
  <si>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</si>
  <si>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</si>
  <si>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</si>
  <si>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</si>
  <si>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</si>
  <si>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</si>
  <si>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</si>
  <si>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</si>
  <si>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</si>
  <si>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</si>
  <si>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</si>
  <si>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</si>
  <si>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</si>
  <si>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</si>
  <si>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</si>
  <si>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</si>
  <si>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</si>
  <si>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</si>
  <si>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</si>
  <si>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</si>
  <si>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</si>
  <si>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</si>
  <si>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</si>
  <si>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</si>
  <si>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</si>
  <si>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</si>
  <si>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</si>
  <si>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</si>
  <si>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</si>
  <si>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</si>
  <si>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</si>
  <si>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</si>
  <si>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</si>
  <si>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</si>
  <si>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</si>
  <si>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</si>
  <si>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</si>
  <si>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</si>
  <si>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</si>
  <si>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</si>
  <si>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</si>
  <si>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</si>
  <si>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</si>
  <si>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</si>
  <si>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</si>
  <si>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</si>
  <si>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</si>
  <si>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</si>
  <si>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</si>
  <si>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</si>
  <si>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</si>
  <si>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</si>
  <si>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</si>
  <si>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</si>
  <si>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</si>
  <si>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</si>
  <si>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</si>
  <si>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</si>
  <si>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</si>
  <si>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</si>
  <si>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</si>
  <si>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</si>
  <si>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</si>
  <si>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</si>
  <si>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</si>
  <si>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</si>
  <si>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</si>
  <si>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</si>
  <si>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</si>
  <si>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</si>
  <si>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</si>
  <si>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</si>
  <si>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</si>
  <si>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</si>
  <si>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</si>
  <si>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</si>
  <si>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</si>
  <si>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</si>
  <si>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</si>
  <si>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</si>
  <si>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</si>
  <si>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</si>
  <si>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</si>
  <si>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</si>
  <si>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</si>
  <si>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</si>
  <si>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</si>
  <si>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</si>
  <si>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</si>
  <si>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</si>
  <si>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</si>
  <si>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</si>
  <si>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</si>
  <si>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</si>
  <si>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</si>
  <si>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</si>
  <si>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</si>
  <si>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</si>
  <si>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</si>
  <si>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</si>
  <si>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</si>
  <si>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</si>
  <si>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</si>
  <si>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</si>
  <si>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</si>
  <si>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</si>
  <si>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</si>
  <si>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</si>
  <si>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</si>
  <si>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</si>
  <si>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</si>
  <si>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</si>
  <si>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</si>
  <si>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</si>
  <si>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</si>
  <si>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</si>
  <si>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</si>
  <si>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</si>
  <si>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</si>
  <si>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</si>
  <si>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</si>
  <si>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</si>
  <si>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</si>
  <si>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</si>
  <si>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</si>
  <si>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</si>
  <si>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</si>
  <si>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</si>
  <si>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</si>
  <si>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</si>
  <si>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</si>
  <si>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</si>
  <si>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</si>
  <si>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</si>
  <si>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</si>
  <si>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</si>
  <si>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</si>
  <si>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Pokémon Deluxe Essential Handbook: The Need-to-Know Stats and Facts on Over 700 Pokémon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</si>
  <si>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</si>
  <si>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</si>
  <si>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</si>
  <si>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</si>
  <si>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</si>
  <si>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</si>
  <si>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</si>
  <si>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</si>
  <si>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</si>
  <si>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</si>
  <si>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</si>
  <si>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</si>
  <si>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</si>
  <si>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</si>
  <si>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</si>
  <si>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</si>
  <si>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</si>
  <si>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</si>
  <si>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</si>
  <si>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</si>
  <si>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</si>
  <si>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</si>
  <si>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</si>
  <si>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</si>
  <si>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</si>
  <si>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</si>
  <si>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</si>
  <si>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</si>
  <si>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</si>
  <si>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</si>
  <si>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</si>
  <si>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</si>
  <si>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</si>
  <si>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</si>
  <si>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</si>
  <si>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</si>
  <si>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</si>
  <si>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</si>
  <si>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</si>
  <si>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</si>
  <si>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</si>
  <si>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</si>
  <si>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</si>
  <si>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</si>
  <si>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</si>
  <si>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</si>
  <si>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</si>
  <si>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</si>
  <si>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</si>
  <si>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</si>
  <si>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</si>
  <si>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</si>
  <si>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</si>
  <si>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</si>
  <si>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</si>
  <si>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</si>
  <si>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</si>
  <si>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</si>
  <si>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</si>
  <si>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</si>
  <si>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</si>
  <si>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</si>
  <si>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</si>
  <si>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</si>
  <si>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</si>
  <si>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</si>
  <si>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</si>
  <si>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</si>
  <si>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</si>
  <si>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</si>
  <si>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</si>
  <si>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</si>
  <si>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</si>
  <si>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</si>
  <si>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</si>
  <si>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</si>
  <si>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t>
  </si>
  <si>
    <t>Thomas Campbell</t>
  </si>
  <si>
    <t>The Complete Ketogenic Diet for Beginners: Your Essential Guide to Living the Keto Lifestyle</t>
  </si>
  <si>
    <t>Amy Ramos</t>
  </si>
  <si>
    <t>The Confession: A Novel</t>
  </si>
  <si>
    <t>The Constitution of the United States</t>
  </si>
  <si>
    <t>Delegates of the Constitutional</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</si>
  <si>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</si>
  <si>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</si>
  <si>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</si>
  <si>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</si>
  <si>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</si>
  <si>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</si>
  <si>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</si>
  <si>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</si>
  <si>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</si>
  <si>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</si>
  <si>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</si>
  <si>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</si>
  <si>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</si>
  <si>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</si>
  <si>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</si>
  <si>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</si>
  <si>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</si>
  <si>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</si>
  <si>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</si>
  <si>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</si>
  <si>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</si>
  <si>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</si>
  <si>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</si>
  <si>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</si>
  <si>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</si>
  <si>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</si>
  <si>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</si>
  <si>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</si>
  <si>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</si>
  <si>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</si>
  <si>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</si>
  <si>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</si>
  <si>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</si>
  <si>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</si>
  <si>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</si>
  <si>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</si>
  <si>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</si>
  <si>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</si>
  <si>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</si>
  <si>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</si>
  <si>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</si>
  <si>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</si>
  <si>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</si>
  <si>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</si>
  <si>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</si>
  <si>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</si>
  <si>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</si>
  <si>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</si>
  <si>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</si>
  <si>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</si>
  <si>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</si>
  <si>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</si>
  <si>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</si>
  <si>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</si>
  <si>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</si>
  <si>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Kondō</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</si>
  <si>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</si>
  <si>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</si>
  <si>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</si>
  <si>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</si>
  <si>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</si>
  <si>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</si>
  <si>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</si>
  <si>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</si>
  <si>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</si>
  <si>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</si>
  <si>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</si>
  <si>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</si>
  <si>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</si>
  <si>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</si>
  <si>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</si>
  <si>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</si>
  <si>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</si>
  <si>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</si>
  <si>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</si>
  <si>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</si>
  <si>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</si>
  <si>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</si>
  <si>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</si>
  <si>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</si>
  <si>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</si>
  <si>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</si>
  <si>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</si>
  <si>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</si>
  <si>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</si>
  <si>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</si>
  <si>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</si>
  <si>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</si>
  <si>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</si>
  <si>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</si>
  <si>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</si>
  <si>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</si>
  <si>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</si>
  <si>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</si>
  <si>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</si>
  <si>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</si>
  <si>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</si>
  <si>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</si>
  <si>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</si>
  <si>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</si>
  <si>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</si>
  <si>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</si>
  <si>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</si>
  <si>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</si>
  <si>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</si>
  <si>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</si>
  <si>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</si>
  <si>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</si>
  <si>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</si>
  <si>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</si>
  <si>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</si>
  <si>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</si>
  <si>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</si>
  <si>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</si>
  <si>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</si>
  <si>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</si>
  <si>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</si>
  <si>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</si>
  <si>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</si>
  <si>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</si>
  <si>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</si>
  <si>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</si>
  <si>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</si>
  <si>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</si>
  <si>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</si>
  <si>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</si>
  <si>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</si>
  <si>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</si>
  <si>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</si>
  <si>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</si>
  <si>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</si>
  <si>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</si>
  <si>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</si>
  <si>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</si>
  <si>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</si>
  <si>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</si>
  <si>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</si>
  <si>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</si>
  <si>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</si>
  <si>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</si>
  <si>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</si>
  <si>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</si>
  <si>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</si>
  <si>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</si>
  <si>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</si>
  <si>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</si>
  <si>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</si>
  <si>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</si>
  <si>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</si>
  <si>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</si>
  <si>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</si>
  <si>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</si>
  <si>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</si>
  <si>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</si>
  <si>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</si>
  <si>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</si>
  <si>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</si>
  <si>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</si>
  <si>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</si>
  <si>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</si>
  <si>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</si>
  <si>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</si>
  <si>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</si>
  <si>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</si>
  <si>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</si>
  <si>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</si>
  <si>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</si>
  <si>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</si>
  <si>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</si>
  <si>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</si>
  <si>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</si>
  <si>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</si>
  <si>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</si>
  <si>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</si>
  <si>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</si>
  <si>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</si>
  <si>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with</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</si>
  <si>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</si>
  <si>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</si>
  <si>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</si>
  <si>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</si>
  <si>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</si>
  <si>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</si>
  <si>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</si>
  <si>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</si>
  <si>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</si>
  <si>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</si>
  <si>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</si>
  <si>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Average of User Rating</t>
  </si>
  <si>
    <t>The Average User rating of the books</t>
  </si>
  <si>
    <t xml:space="preserve">The correlation between the Price and the user rating </t>
  </si>
  <si>
    <t>Count of Genre</t>
  </si>
  <si>
    <t xml:space="preserve">Population Of Books by genre </t>
  </si>
  <si>
    <t>Row Labels</t>
  </si>
  <si>
    <t>Sum of Price</t>
  </si>
  <si>
    <t>Count of Name</t>
  </si>
  <si>
    <t>Sum of Reviews</t>
  </si>
  <si>
    <t>Total Revenue</t>
  </si>
  <si>
    <t>0-9999</t>
  </si>
  <si>
    <t>10000-19999</t>
  </si>
  <si>
    <t>20000-29999</t>
  </si>
  <si>
    <t>30000-39999</t>
  </si>
  <si>
    <t>40000-49999</t>
  </si>
  <si>
    <t>50000-59999</t>
  </si>
  <si>
    <t>60000-69999</t>
  </si>
  <si>
    <t>70000-79999</t>
  </si>
  <si>
    <t>80000-89999</t>
  </si>
  <si>
    <t>Yearly Revenue trend</t>
  </si>
  <si>
    <t xml:space="preserve">Top Author by Total Reviews </t>
  </si>
  <si>
    <t>Highest-Selling Genre</t>
  </si>
  <si>
    <t>Row Lables</t>
  </si>
  <si>
    <t>Row lables</t>
  </si>
  <si>
    <t xml:space="preserve">Distribution of Review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</si>
</sst>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0"/>
  </numFmts>
  <fonts count="5" x14ac:knownFonts="1">
    <font>
      <sz val="11"/>
      <color rgb="FF000000"/>
      <name val="Calibri"/>
    </font>
    <font>
      <sz val="11"/>
      <color rgb="FF000000"/>
      <name val="Calibri"/>
    </font>
    <font>
      <sz val="11"/>
      <color rgb="FF000000"/>
      <name val="Times New Roman"/>
      <family val="1"/>
    </font>
    <font>
      <sz val="12"/>
      <color rgb="FF000000"/>
      <name val="Times New Roman"/>
      <family val="1"/>
    </font>
    <font>
      <b/>
      <sz val="11"/>
      <color rgb="FF000000"/>
      <name val="Times New Roman"/>
      <family val="1"/>
    </font>
  </fonts>
  <fills count="3">
    <fill>
      <patternFill patternType="none"/>
    </fill>
    <fill>
      <patternFill patternType="gray125"/>
    </fill>
    <fill>
      <patternFill patternType="solid">
        <fgColor rgb="FF712C0D"/>
        <bgColor indexed="64"/>
      </patternFill>
    </fill>
  </fills>
  <borders count="8">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0" fontId="0" fillId="0" borderId="4" xfId="0" applyBorder="1"/>
    <xf numFmtId="0" fontId="2" fillId="0" borderId="0" xfId="0" applyFont="1"/>
    <xf numFmtId="0" fontId="2" fillId="0" borderId="4" xfId="0" applyFont="1" applyBorder="1"/>
    <xf numFmtId="0" fontId="4" fillId="0" borderId="0" xfId="0" applyFont="1"/>
    <xf numFmtId="0" fontId="3" fillId="0" borderId="4" xfId="0" applyFon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44" fontId="0" fillId="0" borderId="0" xfId="1" applyFont="1"/>
    <xf numFmtId="44" fontId="0" fillId="0" borderId="4" xfId="0" applyNumberFormat="1" applyBorder="1"/>
    <xf numFmtId="44" fontId="0" fillId="0" borderId="6" xfId="0" applyNumberFormat="1" applyBorder="1"/>
    <xf numFmtId="44" fontId="0" fillId="0" borderId="7" xfId="0" applyNumberFormat="1" applyBorder="1"/>
    <xf numFmtId="0" fontId="2" fillId="0" borderId="1" xfId="0" pivotButton="1" applyFont="1" applyBorder="1"/>
    <xf numFmtId="0" fontId="2" fillId="0" borderId="1" xfId="0" applyFont="1" applyBorder="1" applyAlignment="1">
      <alignment horizontal="left"/>
    </xf>
    <xf numFmtId="0" fontId="2" fillId="0" borderId="2" xfId="0" applyFont="1" applyBorder="1" applyAlignment="1">
      <alignment horizontal="left"/>
    </xf>
    <xf numFmtId="0" fontId="2" fillId="0" borderId="6" xfId="0" applyNumberFormat="1" applyFont="1" applyBorder="1"/>
    <xf numFmtId="0" fontId="2" fillId="0" borderId="3" xfId="0" applyFont="1" applyBorder="1" applyAlignment="1">
      <alignment horizontal="left"/>
    </xf>
    <xf numFmtId="0" fontId="2" fillId="0" borderId="7" xfId="0" applyNumberFormat="1" applyFont="1" applyBorder="1"/>
    <xf numFmtId="44" fontId="2" fillId="0" borderId="4" xfId="0" applyNumberFormat="1" applyFont="1" applyBorder="1"/>
    <xf numFmtId="0" fontId="4" fillId="0" borderId="4" xfId="0" applyNumberFormat="1" applyFont="1" applyBorder="1"/>
    <xf numFmtId="0" fontId="0" fillId="0" borderId="4" xfId="0" applyNumberFormat="1" applyBorder="1"/>
    <xf numFmtId="0" fontId="0" fillId="0" borderId="7" xfId="0" applyNumberFormat="1" applyBorder="1"/>
    <xf numFmtId="44" fontId="4" fillId="2" borderId="5" xfId="0" applyNumberFormat="1" applyFont="1" applyFill="1" applyBorder="1"/>
    <xf numFmtId="0" fontId="4" fillId="2" borderId="5" xfId="0" applyNumberFormat="1" applyFont="1" applyFill="1" applyBorder="1"/>
    <xf numFmtId="2" fontId="4" fillId="2" borderId="0" xfId="0" applyNumberFormat="1" applyFont="1" applyFill="1"/>
    <xf numFmtId="164" fontId="4" fillId="2" borderId="0" xfId="0" applyNumberFormat="1" applyFont="1" applyFill="1"/>
    <xf numFmtId="0" fontId="3" fillId="0" borderId="0" xfId="0" applyFont="1"/>
  </cellXfs>
  <cellStyles count="2">
    <cellStyle name="Currency" xfId="1" builtinId="4"/>
    <cellStyle name="Normal" xfId="0" builtinId="0"/>
  </cellStyles>
  <dxfs count="61">
    <dxf>
      <numFmt numFmtId="34" formatCode="_(&quot;$&quot;* #,##0.00_);_(&quot;$&quot;* \(#,##0.00\);_(&quot;$&quot;* &quot;-&quot;??_);_(@_)"/>
    </dxf>
    <dxf>
      <numFmt numFmtId="0" formatCode="General"/>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b/>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b/>
      </font>
    </dxf>
    <dxf>
      <font>
        <b/>
      </font>
    </dxf>
    <dxf>
      <font>
        <b/>
      </font>
    </dxf>
    <dxf>
      <numFmt numFmtId="34" formatCode="_(&quot;$&quot;* #,##0.00_);_(&quot;$&quot;* \(#,##0.00\);_(&quot;$&quot;* &quot;-&quot;??_);_(@_)"/>
    </dxf>
    <dxf>
      <font>
        <b/>
        <family val="2"/>
      </font>
    </dxf>
    <dxf>
      <font>
        <name val="Times New Roman"/>
        <family val="1"/>
      </font>
    </dxf>
    <dxf>
      <font>
        <name val="Times New Roman"/>
        <family val="1"/>
      </font>
    </dxf>
    <dxf>
      <font>
        <name val="Times New Roman"/>
        <family val="1"/>
      </font>
    </dxf>
    <dxf>
      <fill>
        <patternFill patternType="solid">
          <bgColor rgb="FF712C0D"/>
        </patternFill>
      </fill>
    </dxf>
    <dxf>
      <numFmt numFmtId="34" formatCode="_(&quot;$&quot;* #,##0.00_);_(&quot;$&quot;* \(#,##0.00\);_(&quot;$&quot;* &quot;-&quot;??_);_(@_)"/>
    </dxf>
    <dxf>
      <font>
        <b/>
        <family val="2"/>
      </font>
    </dxf>
    <dxf>
      <font>
        <name val="Times New Roman"/>
        <family val="1"/>
      </font>
    </dxf>
    <dxf>
      <font>
        <name val="Times New Roman"/>
        <family val="1"/>
      </font>
    </dxf>
    <dxf>
      <font>
        <name val="Times New Roman"/>
        <family val="1"/>
      </font>
    </dxf>
    <dxf>
      <fill>
        <patternFill patternType="solid">
          <bgColor rgb="FF712C0D"/>
        </patternFill>
      </fill>
    </dxf>
    <dxf>
      <fill>
        <patternFill patternType="solid">
          <bgColor rgb="FF712C0D"/>
        </patternFill>
      </fill>
    </dxf>
    <dxf>
      <font>
        <sz val="12"/>
      </font>
    </dxf>
    <dxf>
      <font>
        <name val="Times New Roman"/>
        <family val="1"/>
      </font>
    </dxf>
    <dxf>
      <font>
        <name val="Times New Roman"/>
        <family val="1"/>
      </font>
    </dxf>
    <dxf>
      <font>
        <name val="Times New Roman"/>
        <family val="1"/>
      </font>
    </dxf>
    <dxf>
      <font>
        <b/>
        <family val="2"/>
      </font>
    </dxf>
    <dxf>
      <fill>
        <patternFill patternType="solid">
          <bgColor rgb="FF712C0D"/>
        </patternFill>
      </fill>
    </dxf>
    <dxf>
      <numFmt numFmtId="2" formatCode="0.00"/>
    </dxf>
    <dxf>
      <font>
        <b/>
      </font>
    </dxf>
    <dxf>
      <font>
        <name val="Times New Roman"/>
        <family val="1"/>
      </font>
    </dxf>
    <dxf>
      <font>
        <name val="Times New Roman"/>
        <family val="1"/>
      </font>
    </dxf>
    <dxf>
      <font>
        <name val="Times New Roman"/>
        <family val="1"/>
      </font>
    </dxf>
    <dxf>
      <numFmt numFmtId="34" formatCode="_(&quot;$&quot;* #,##0.00_);_(&quot;$&quot;* \(#,##0.00\);_(&quot;$&quot;* &quot;-&quot;??_);_(@_)"/>
    </dxf>
    <dxf>
      <font>
        <b/>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ill>
        <patternFill patternType="solid">
          <bgColor rgb="FF712C0D"/>
        </patternFill>
      </fill>
    </dxf>
    <dxf>
      <font>
        <name val="Times New Roman"/>
        <family val="1"/>
      </font>
    </dxf>
    <dxf>
      <font>
        <name val="Times New Roman"/>
        <family val="1"/>
      </font>
    </dxf>
    <dxf>
      <font>
        <name val="Times New Roman"/>
        <family val="1"/>
      </font>
    </dxf>
    <dxf>
      <font>
        <b/>
        <family val="2"/>
      </font>
    </dxf>
    <dxf>
      <numFmt numFmtId="34" formatCode="_(&quot;$&quot;* #,##0.00_);_(&quot;$&quot;* \(#,##0.00\);_(&quot;$&quot;* &quot;-&quot;??_);_(@_)"/>
    </dxf>
    <dxf>
      <fill>
        <patternFill>
          <bgColor rgb="FFFFFFCC"/>
        </patternFill>
      </fill>
    </dxf>
    <dxf>
      <font>
        <color theme="1"/>
      </font>
      <fill>
        <patternFill>
          <bgColor theme="9" tint="0.79998168889431442"/>
        </patternFill>
      </fill>
    </dxf>
    <dxf>
      <font>
        <b val="0"/>
        <i val="0"/>
        <color rgb="FF712C0D"/>
      </font>
      <fill>
        <patternFill>
          <bgColor theme="9" tint="0.79998168889431442"/>
        </patternFill>
      </fill>
    </dxf>
    <dxf>
      <font>
        <color rgb="FF712C0D"/>
      </font>
    </dxf>
  </dxfs>
  <tableStyles count="5" defaultTableStyle="TableStyleMedium9">
    <tableStyle name="Slicer Style 1" pivot="0" table="0" count="1" xr9:uid="{36D2E734-C1DB-4EA5-9AC4-9A4A22AD7586}">
      <tableStyleElement type="wholeTable" dxfId="60"/>
    </tableStyle>
    <tableStyle name="Slicer Style 2" pivot="0" table="0" count="1" xr9:uid="{73D46B1E-7A81-4986-ABE7-A14E476DD287}"/>
    <tableStyle name="Slicer Style 3" pivot="0" table="0" count="1" xr9:uid="{E49FDE2A-FD82-47A8-8714-859624C1E92E}">
      <tableStyleElement type="wholeTable" dxfId="59"/>
    </tableStyle>
    <tableStyle name="Slicer Style 4" pivot="0" table="0" count="1" xr9:uid="{D64D1DF2-EBCA-4440-A0D3-03BFD81924E3}">
      <tableStyleElement type="wholeTable" dxfId="58"/>
    </tableStyle>
    <tableStyle name="Slicer Style 5" pivot="0" table="0" count="1" xr9:uid="{E1230DC9-D214-4F54-9263-33CCCA8F85EC}">
      <tableStyleElement type="wholeTable" dxfId="57"/>
    </tableStyle>
  </tableStyles>
  <colors>
    <mruColors>
      <color rgb="FFFFFFCC"/>
      <color rgb="FF712C0D"/>
      <color rgb="FFF8F99B"/>
      <color rgb="FFFBC69B"/>
      <color rgb="FFF8F9CF"/>
    </mruColors>
  </colors>
  <extLst>
    <ext xmlns:x14="http://schemas.microsoft.com/office/spreadsheetml/2009/9/main" uri="{46F421CA-312F-682f-3DD2-61675219B42D}">
      <x14:dxfs count="1">
        <dxf>
          <font>
            <color rgb="FF712C0D"/>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Table!PivotTable4</c:name>
    <c:fmtId val="3"/>
  </c:pivotSource>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r>
              <a:rPr lang="en-US" sz="1400" cap="none" baseline="0">
                <a:solidFill>
                  <a:schemeClr val="tx1"/>
                </a:solidFill>
                <a:latin typeface="+mn-lt"/>
                <a:cs typeface="Times New Roman" panose="02020603050405020304" pitchFamily="18" charset="0"/>
              </a:rPr>
              <a:t>Top Author by Total Reviews</a:t>
            </a:r>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2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12C0D"/>
          </a:solidFill>
          <a:ln>
            <a:noFill/>
          </a:ln>
          <a:effectLst/>
        </c:spPr>
        <c:dLbl>
          <c:idx val="0"/>
          <c:layout>
            <c:manualLayout>
              <c:x val="-5.3981106612685688E-3"/>
              <c:y val="-0.2798353909465020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5D6E57-D82F-4355-AD47-B3BFFAA1CBBD}"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712C0D"/>
          </a:solidFill>
          <a:ln>
            <a:noFill/>
          </a:ln>
          <a:effectLst/>
        </c:spPr>
        <c:dLbl>
          <c:idx val="0"/>
          <c:layout>
            <c:manualLayout>
              <c:x val="-2.4741054720038852E-17"/>
              <c:y val="-0.189814976831599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29C37D-6FF3-414E-B94F-76879EFE83E4}"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712C0D"/>
          </a:solidFill>
          <a:ln>
            <a:noFill/>
          </a:ln>
          <a:effectLst/>
        </c:spPr>
        <c:dLbl>
          <c:idx val="0"/>
          <c:layout>
            <c:manualLayout>
              <c:x val="0"/>
              <c:y val="-0.173353747448235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4D6F5C-0929-4C20-B917-D665580D0F4D}"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712C0D"/>
          </a:solidFill>
          <a:ln>
            <a:noFill/>
          </a:ln>
          <a:effectLst/>
        </c:spPr>
        <c:dLbl>
          <c:idx val="0"/>
          <c:layout>
            <c:manualLayout>
              <c:x val="-8.0971659919028827E-3"/>
              <c:y val="-0.220164609053497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0E990B-F16E-49C6-8FFC-73B2A37861B5}"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712C0D"/>
          </a:solidFill>
          <a:ln>
            <a:noFill/>
          </a:ln>
          <a:effectLst/>
        </c:spPr>
        <c:dLbl>
          <c:idx val="0"/>
          <c:layout>
            <c:manualLayout>
              <c:x val="-2.7776892260938007E-3"/>
              <c:y val="-0.1682100385599948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CA883E-3C12-4CB6-858A-C01D235FE1BE}"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712C0D"/>
          </a:solidFill>
          <a:ln>
            <a:noFill/>
          </a:ln>
          <a:effectLst/>
        </c:spPr>
        <c:dLbl>
          <c:idx val="0"/>
          <c:layout>
            <c:manualLayout>
              <c:x val="1.5748031496062991E-4"/>
              <c:y val="-0.2006172839506172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361AD2-AC96-4DE4-98FF-D55F2FF7C47F}"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712C0D"/>
          </a:solidFill>
          <a:ln>
            <a:noFill/>
          </a:ln>
          <a:effectLst/>
        </c:spPr>
        <c:dLbl>
          <c:idx val="0"/>
          <c:layout>
            <c:manualLayout>
              <c:x val="-2.9351695410544309E-3"/>
              <c:y val="-0.181069958847736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46F565-0934-4036-B8E1-6FB321AABE30}"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712C0D"/>
          </a:solidFill>
          <a:ln>
            <a:noFill/>
          </a:ln>
          <a:effectLst/>
        </c:spPr>
        <c:dLbl>
          <c:idx val="0"/>
          <c:layout>
            <c:manualLayout>
              <c:x val="-5.3981106612686547E-3"/>
              <c:y val="-0.2062758821813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6A98D7-E036-4161-A50A-DC54B6F62972}"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712C0D"/>
          </a:solidFill>
          <a:ln>
            <a:noFill/>
          </a:ln>
          <a:effectLst/>
        </c:spPr>
        <c:dLbl>
          <c:idx val="0"/>
          <c:layout>
            <c:manualLayout>
              <c:x val="0"/>
              <c:y val="-0.193929879135478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023B16-6FF7-43C4-B527-B523F0910092}" type="VALUE">
                  <a:rPr lang="en-US"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712C0D"/>
          </a:solidFill>
          <a:ln>
            <a:noFill/>
          </a:ln>
          <a:effectLst/>
        </c:spPr>
        <c:dLbl>
          <c:idx val="0"/>
          <c:layout>
            <c:manualLayout>
              <c:x val="2.9351695410543316E-3"/>
              <c:y val="-0.181584524156702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F03827-0984-4776-B43A-1DE964AF6996}"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159199927595258"/>
          <c:y val="0.13757201646090536"/>
          <c:w val="0.86286521656057358"/>
          <c:h val="0.53785165743170993"/>
        </c:manualLayout>
      </c:layout>
      <c:barChart>
        <c:barDir val="col"/>
        <c:grouping val="stacked"/>
        <c:varyColors val="0"/>
        <c:ser>
          <c:idx val="0"/>
          <c:order val="0"/>
          <c:tx>
            <c:strRef>
              <c:f>'Pivot Table'!$F$7</c:f>
              <c:strCache>
                <c:ptCount val="1"/>
                <c:pt idx="0">
                  <c:v>Total</c:v>
                </c:pt>
              </c:strCache>
            </c:strRef>
          </c:tx>
          <c:spPr>
            <a:solidFill>
              <a:srgbClr val="712C0D"/>
            </a:solidFill>
            <a:ln>
              <a:noFill/>
            </a:ln>
            <a:effectLst/>
          </c:spPr>
          <c:invertIfNegative val="0"/>
          <c:dPt>
            <c:idx val="0"/>
            <c:invertIfNegative val="0"/>
            <c:bubble3D val="0"/>
            <c:spPr>
              <a:solidFill>
                <a:srgbClr val="712C0D"/>
              </a:solidFill>
              <a:ln>
                <a:noFill/>
              </a:ln>
              <a:effectLst/>
            </c:spPr>
            <c:extLst>
              <c:ext xmlns:c16="http://schemas.microsoft.com/office/drawing/2014/chart" uri="{C3380CC4-5D6E-409C-BE32-E72D297353CC}">
                <c16:uniqueId val="{00000001-EFD0-4C74-98CC-93FD59B74A20}"/>
              </c:ext>
            </c:extLst>
          </c:dPt>
          <c:dPt>
            <c:idx val="2"/>
            <c:invertIfNegative val="0"/>
            <c:bubble3D val="0"/>
            <c:spPr>
              <a:solidFill>
                <a:srgbClr val="712C0D"/>
              </a:solidFill>
              <a:ln>
                <a:noFill/>
              </a:ln>
              <a:effectLst/>
            </c:spPr>
            <c:extLst>
              <c:ext xmlns:c16="http://schemas.microsoft.com/office/drawing/2014/chart" uri="{C3380CC4-5D6E-409C-BE32-E72D297353CC}">
                <c16:uniqueId val="{00000003-EFD0-4C74-98CC-93FD59B74A20}"/>
              </c:ext>
            </c:extLst>
          </c:dPt>
          <c:dPt>
            <c:idx val="4"/>
            <c:invertIfNegative val="0"/>
            <c:bubble3D val="0"/>
            <c:spPr>
              <a:solidFill>
                <a:srgbClr val="712C0D"/>
              </a:solidFill>
              <a:ln>
                <a:noFill/>
              </a:ln>
              <a:effectLst/>
            </c:spPr>
            <c:extLst>
              <c:ext xmlns:c16="http://schemas.microsoft.com/office/drawing/2014/chart" uri="{C3380CC4-5D6E-409C-BE32-E72D297353CC}">
                <c16:uniqueId val="{00000005-EFD0-4C74-98CC-93FD59B74A20}"/>
              </c:ext>
            </c:extLst>
          </c:dPt>
          <c:dPt>
            <c:idx val="5"/>
            <c:invertIfNegative val="0"/>
            <c:bubble3D val="0"/>
            <c:spPr>
              <a:solidFill>
                <a:srgbClr val="712C0D"/>
              </a:solidFill>
              <a:ln>
                <a:noFill/>
              </a:ln>
              <a:effectLst/>
            </c:spPr>
            <c:extLst>
              <c:ext xmlns:c16="http://schemas.microsoft.com/office/drawing/2014/chart" uri="{C3380CC4-5D6E-409C-BE32-E72D297353CC}">
                <c16:uniqueId val="{00000006-EFD0-4C74-98CC-93FD59B74A20}"/>
              </c:ext>
            </c:extLst>
          </c:dPt>
          <c:dPt>
            <c:idx val="6"/>
            <c:invertIfNegative val="0"/>
            <c:bubble3D val="0"/>
            <c:spPr>
              <a:solidFill>
                <a:srgbClr val="712C0D"/>
              </a:solidFill>
              <a:ln>
                <a:noFill/>
              </a:ln>
              <a:effectLst/>
            </c:spPr>
            <c:extLst>
              <c:ext xmlns:c16="http://schemas.microsoft.com/office/drawing/2014/chart" uri="{C3380CC4-5D6E-409C-BE32-E72D297353CC}">
                <c16:uniqueId val="{00000007-EFD0-4C74-98CC-93FD59B74A20}"/>
              </c:ext>
            </c:extLst>
          </c:dPt>
          <c:dPt>
            <c:idx val="8"/>
            <c:invertIfNegative val="0"/>
            <c:bubble3D val="0"/>
            <c:spPr>
              <a:solidFill>
                <a:srgbClr val="712C0D"/>
              </a:solidFill>
              <a:ln>
                <a:noFill/>
              </a:ln>
              <a:effectLst/>
            </c:spPr>
            <c:extLst>
              <c:ext xmlns:c16="http://schemas.microsoft.com/office/drawing/2014/chart" uri="{C3380CC4-5D6E-409C-BE32-E72D297353CC}">
                <c16:uniqueId val="{00000009-EFD0-4C74-98CC-93FD59B74A20}"/>
              </c:ext>
            </c:extLst>
          </c:dPt>
          <c:dPt>
            <c:idx val="9"/>
            <c:invertIfNegative val="0"/>
            <c:bubble3D val="0"/>
            <c:spPr>
              <a:solidFill>
                <a:srgbClr val="712C0D"/>
              </a:solidFill>
              <a:ln>
                <a:noFill/>
              </a:ln>
              <a:effectLst/>
            </c:spPr>
            <c:extLst>
              <c:ext xmlns:c16="http://schemas.microsoft.com/office/drawing/2014/chart" uri="{C3380CC4-5D6E-409C-BE32-E72D297353CC}">
                <c16:uniqueId val="{0000000A-EFD0-4C74-98CC-93FD59B74A20}"/>
              </c:ext>
            </c:extLst>
          </c:dPt>
          <c:dLbls>
            <c:dLbl>
              <c:idx val="0"/>
              <c:layout>
                <c:manualLayout>
                  <c:x val="-5.3981106612685688E-3"/>
                  <c:y val="-0.27983539094650206"/>
                </c:manualLayout>
              </c:layout>
              <c:tx>
                <c:rich>
                  <a:bodyPr/>
                  <a:lstStyle/>
                  <a:p>
                    <a:fld id="{F55D6E57-D82F-4355-AD47-B3BFFAA1CBBD}"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FD0-4C74-98CC-93FD59B74A20}"/>
                </c:ext>
              </c:extLst>
            </c:dLbl>
            <c:dLbl>
              <c:idx val="2"/>
              <c:layout>
                <c:manualLayout>
                  <c:x val="-2.4741054720038852E-17"/>
                  <c:y val="-0.18981497683159979"/>
                </c:manualLayout>
              </c:layout>
              <c:tx>
                <c:rich>
                  <a:bodyPr/>
                  <a:lstStyle/>
                  <a:p>
                    <a:fld id="{6429C37D-6FF3-414E-B94F-76879EFE83E4}"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FD0-4C74-98CC-93FD59B74A20}"/>
                </c:ext>
              </c:extLst>
            </c:dLbl>
            <c:dLbl>
              <c:idx val="4"/>
              <c:layout>
                <c:manualLayout>
                  <c:x val="-8.0971659919028827E-3"/>
                  <c:y val="-0.22016460905349794"/>
                </c:manualLayout>
              </c:layout>
              <c:tx>
                <c:rich>
                  <a:bodyPr/>
                  <a:lstStyle/>
                  <a:p>
                    <a:fld id="{A60E990B-F16E-49C6-8FFC-73B2A37861B5}"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FD0-4C74-98CC-93FD59B74A20}"/>
                </c:ext>
              </c:extLst>
            </c:dLbl>
            <c:dLbl>
              <c:idx val="5"/>
              <c:layout>
                <c:manualLayout>
                  <c:x val="-2.7776892260938007E-3"/>
                  <c:y val="-0.16821003855999481"/>
                </c:manualLayout>
              </c:layout>
              <c:tx>
                <c:rich>
                  <a:bodyPr/>
                  <a:lstStyle/>
                  <a:p>
                    <a:fld id="{B8CA883E-3C12-4CB6-858A-C01D235FE1BE}"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FD0-4C74-98CC-93FD59B74A20}"/>
                </c:ext>
              </c:extLst>
            </c:dLbl>
            <c:dLbl>
              <c:idx val="6"/>
              <c:layout>
                <c:manualLayout>
                  <c:x val="1.5748031496062991E-4"/>
                  <c:y val="-0.20061728395061729"/>
                </c:manualLayout>
              </c:layout>
              <c:tx>
                <c:rich>
                  <a:bodyPr/>
                  <a:lstStyle/>
                  <a:p>
                    <a:fld id="{47361AD2-AC96-4DE4-98FF-D55F2FF7C47F}"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FD0-4C74-98CC-93FD59B74A20}"/>
                </c:ext>
              </c:extLst>
            </c:dLbl>
            <c:dLbl>
              <c:idx val="8"/>
              <c:layout>
                <c:manualLayout>
                  <c:x val="-5.3981106612686547E-3"/>
                  <c:y val="-0.206275882181394"/>
                </c:manualLayout>
              </c:layout>
              <c:tx>
                <c:rich>
                  <a:bodyPr/>
                  <a:lstStyle/>
                  <a:p>
                    <a:fld id="{ED6A98D7-E036-4161-A50A-DC54B6F62972}"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FD0-4C74-98CC-93FD59B74A20}"/>
                </c:ext>
              </c:extLst>
            </c:dLbl>
            <c:dLbl>
              <c:idx val="9"/>
              <c:layout>
                <c:manualLayout>
                  <c:x val="0"/>
                  <c:y val="-0.19392987913547843"/>
                </c:manualLayout>
              </c:layout>
              <c:tx>
                <c:rich>
                  <a:bodyPr/>
                  <a:lstStyle/>
                  <a:p>
                    <a:fld id="{E9023B16-6FF7-43C4-B527-B523F0910092}"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EFD0-4C74-98CC-93FD59B74A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Table'!$E$8:$E$17</c:f>
              <c:strCache>
                <c:ptCount val="10"/>
                <c:pt idx="0">
                  <c:v>Suzanne Collins</c:v>
                </c:pt>
                <c:pt idx="1">
                  <c:v>R. J. Palacio</c:v>
                </c:pt>
                <c:pt idx="2">
                  <c:v>Paula Hawkins</c:v>
                </c:pt>
                <c:pt idx="3">
                  <c:v>Kristin Hannah</c:v>
                </c:pt>
                <c:pt idx="4">
                  <c:v>John Green</c:v>
                </c:pt>
                <c:pt idx="5">
                  <c:v>Harper Lee</c:v>
                </c:pt>
                <c:pt idx="6">
                  <c:v>Gillian Flynn</c:v>
                </c:pt>
                <c:pt idx="7">
                  <c:v>Eric Carle</c:v>
                </c:pt>
                <c:pt idx="8">
                  <c:v>E L James</c:v>
                </c:pt>
                <c:pt idx="9">
                  <c:v>Dr. Seuss</c:v>
                </c:pt>
              </c:strCache>
            </c:strRef>
          </c:cat>
          <c:val>
            <c:numRef>
              <c:f>'Pivot Table'!$F$8:$F$17</c:f>
              <c:numCache>
                <c:formatCode>General</c:formatCode>
                <c:ptCount val="10"/>
                <c:pt idx="0">
                  <c:v>278329</c:v>
                </c:pt>
                <c:pt idx="1">
                  <c:v>108125</c:v>
                </c:pt>
                <c:pt idx="2">
                  <c:v>158892</c:v>
                </c:pt>
                <c:pt idx="3">
                  <c:v>98576</c:v>
                </c:pt>
                <c:pt idx="4">
                  <c:v>210419</c:v>
                </c:pt>
                <c:pt idx="5">
                  <c:v>146152</c:v>
                </c:pt>
                <c:pt idx="6">
                  <c:v>171813</c:v>
                </c:pt>
                <c:pt idx="7">
                  <c:v>136822</c:v>
                </c:pt>
                <c:pt idx="8">
                  <c:v>178011</c:v>
                </c:pt>
                <c:pt idx="9">
                  <c:v>176545</c:v>
                </c:pt>
              </c:numCache>
            </c:numRef>
          </c:val>
          <c:extLst>
            <c:ext xmlns:c16="http://schemas.microsoft.com/office/drawing/2014/chart" uri="{C3380CC4-5D6E-409C-BE32-E72D297353CC}">
              <c16:uniqueId val="{00000000-EFD0-4C74-98CC-93FD59B74A20}"/>
            </c:ext>
          </c:extLst>
        </c:ser>
        <c:dLbls>
          <c:dLblPos val="ctr"/>
          <c:showLegendKey val="0"/>
          <c:showVal val="1"/>
          <c:showCatName val="0"/>
          <c:showSerName val="0"/>
          <c:showPercent val="0"/>
          <c:showBubbleSize val="0"/>
        </c:dLbls>
        <c:gapWidth val="50"/>
        <c:overlap val="100"/>
        <c:axId val="545155888"/>
        <c:axId val="545152048"/>
      </c:barChart>
      <c:catAx>
        <c:axId val="54515588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5152048"/>
        <c:crosses val="autoZero"/>
        <c:auto val="1"/>
        <c:lblAlgn val="ctr"/>
        <c:lblOffset val="100"/>
        <c:noMultiLvlLbl val="0"/>
      </c:catAx>
      <c:valAx>
        <c:axId val="545152048"/>
        <c:scaling>
          <c:orientation val="minMax"/>
        </c:scaling>
        <c:delete val="1"/>
        <c:axPos val="l"/>
        <c:numFmt formatCode="General" sourceLinked="1"/>
        <c:majorTickMark val="none"/>
        <c:minorTickMark val="none"/>
        <c:tickLblPos val="nextTo"/>
        <c:crossAx val="54515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Distribution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712C0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12C0D"/>
            </a:solidFill>
            <a:round/>
          </a:ln>
          <a:effectLst/>
        </c:spPr>
        <c:marker>
          <c:symbol val="circle"/>
          <c:size val="5"/>
          <c:spPr>
            <a:solidFill>
              <a:srgbClr val="712C0D"/>
            </a:solidFill>
            <a:ln w="9525">
              <a:solidFill>
                <a:srgbClr val="712C0D"/>
              </a:solidFill>
            </a:ln>
            <a:effectLst/>
          </c:spPr>
        </c:marker>
        <c:dLbl>
          <c:idx val="0"/>
          <c:layout>
            <c:manualLayout>
              <c:x val="-3.5416666666666693E-2"/>
              <c:y val="-7.5567220764071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5"/>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6"/>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7"/>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8"/>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9"/>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10"/>
        <c:spPr>
          <a:ln w="28575" cap="rnd">
            <a:solidFill>
              <a:srgbClr val="712C0D"/>
            </a:solidFill>
            <a:round/>
          </a:ln>
          <a:effectLst/>
        </c:spPr>
        <c:marker>
          <c:symbol val="circle"/>
          <c:size val="5"/>
          <c:spPr>
            <a:solidFill>
              <a:srgbClr val="712C0D"/>
            </a:solidFill>
            <a:ln w="9525">
              <a:solidFill>
                <a:srgbClr val="712C0D"/>
              </a:solidFill>
            </a:ln>
            <a:effectLst/>
          </c:spPr>
        </c:marker>
      </c:pivotFmt>
    </c:pivotFmts>
    <c:plotArea>
      <c:layout>
        <c:manualLayout>
          <c:layoutTarget val="inner"/>
          <c:xMode val="edge"/>
          <c:yMode val="edge"/>
          <c:x val="3.5151574803149607E-2"/>
          <c:y val="0.17171296296296296"/>
          <c:w val="0.8967368766404199"/>
          <c:h val="0.50804170312044328"/>
        </c:manualLayout>
      </c:layout>
      <c:lineChart>
        <c:grouping val="stacked"/>
        <c:varyColors val="0"/>
        <c:ser>
          <c:idx val="0"/>
          <c:order val="0"/>
          <c:tx>
            <c:strRef>
              <c:f>'Pivot Table'!$B$13</c:f>
              <c:strCache>
                <c:ptCount val="1"/>
                <c:pt idx="0">
                  <c:v>Total</c:v>
                </c:pt>
              </c:strCache>
            </c:strRef>
          </c:tx>
          <c:spPr>
            <a:ln w="28575" cap="rnd">
              <a:solidFill>
                <a:schemeClr val="accent1"/>
              </a:solidFill>
              <a:round/>
            </a:ln>
            <a:effectLst/>
          </c:spPr>
          <c:marker>
            <c:symbol val="circle"/>
            <c:size val="5"/>
            <c:spPr>
              <a:solidFill>
                <a:srgbClr val="712C0D"/>
              </a:solidFill>
              <a:ln w="9525">
                <a:solidFill>
                  <a:schemeClr val="accent1"/>
                </a:solidFill>
              </a:ln>
              <a:effectLst/>
            </c:spPr>
          </c:marker>
          <c:dPt>
            <c:idx val="1"/>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1-48BB-48CE-B55F-433902A230EA}"/>
              </c:ext>
            </c:extLst>
          </c:dPt>
          <c:dPt>
            <c:idx val="2"/>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2-48BB-48CE-B55F-433902A230EA}"/>
              </c:ext>
            </c:extLst>
          </c:dPt>
          <c:dPt>
            <c:idx val="3"/>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3-48BB-48CE-B55F-433902A230EA}"/>
              </c:ext>
            </c:extLst>
          </c:dPt>
          <c:dPt>
            <c:idx val="4"/>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4-48BB-48CE-B55F-433902A230EA}"/>
              </c:ext>
            </c:extLst>
          </c:dPt>
          <c:dPt>
            <c:idx val="5"/>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5-48BB-48CE-B55F-433902A230EA}"/>
              </c:ext>
            </c:extLst>
          </c:dPt>
          <c:dPt>
            <c:idx val="6"/>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6-48BB-48CE-B55F-433902A230EA}"/>
              </c:ext>
            </c:extLst>
          </c:dPt>
          <c:dPt>
            <c:idx val="7"/>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7-48BB-48CE-B55F-433902A230EA}"/>
              </c:ext>
            </c:extLst>
          </c:dPt>
          <c:dPt>
            <c:idx val="8"/>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8-48BB-48CE-B55F-433902A230EA}"/>
              </c:ext>
            </c:extLst>
          </c:dPt>
          <c:dLbls>
            <c:dLbl>
              <c:idx val="1"/>
              <c:layout>
                <c:manualLayout>
                  <c:x val="-3.5416666666666693E-2"/>
                  <c:y val="-7.55672207640711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BB-48CE-B55F-433902A230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Table'!$A$14:$A$22</c:f>
              <c:strCache>
                <c:ptCount val="9"/>
                <c:pt idx="0">
                  <c:v>0-9999</c:v>
                </c:pt>
                <c:pt idx="1">
                  <c:v>10000-19999</c:v>
                </c:pt>
                <c:pt idx="2">
                  <c:v>20000-29999</c:v>
                </c:pt>
                <c:pt idx="3">
                  <c:v>30000-39999</c:v>
                </c:pt>
                <c:pt idx="4">
                  <c:v>40000-49999</c:v>
                </c:pt>
                <c:pt idx="5">
                  <c:v>50000-59999</c:v>
                </c:pt>
                <c:pt idx="6">
                  <c:v>60000-69999</c:v>
                </c:pt>
                <c:pt idx="7">
                  <c:v>70000-79999</c:v>
                </c:pt>
                <c:pt idx="8">
                  <c:v>80000-89999</c:v>
                </c:pt>
              </c:strCache>
            </c:strRef>
          </c:cat>
          <c:val>
            <c:numRef>
              <c:f>'Pivot Table'!$B$14:$B$22</c:f>
              <c:numCache>
                <c:formatCode>General</c:formatCode>
                <c:ptCount val="9"/>
                <c:pt idx="0">
                  <c:v>325</c:v>
                </c:pt>
                <c:pt idx="1">
                  <c:v>119</c:v>
                </c:pt>
                <c:pt idx="2">
                  <c:v>79</c:v>
                </c:pt>
                <c:pt idx="3">
                  <c:v>11</c:v>
                </c:pt>
                <c:pt idx="4">
                  <c:v>4</c:v>
                </c:pt>
                <c:pt idx="5">
                  <c:v>7</c:v>
                </c:pt>
                <c:pt idx="6">
                  <c:v>2</c:v>
                </c:pt>
                <c:pt idx="7">
                  <c:v>2</c:v>
                </c:pt>
                <c:pt idx="8">
                  <c:v>1</c:v>
                </c:pt>
              </c:numCache>
            </c:numRef>
          </c:val>
          <c:smooth val="0"/>
          <c:extLst>
            <c:ext xmlns:c16="http://schemas.microsoft.com/office/drawing/2014/chart" uri="{C3380CC4-5D6E-409C-BE32-E72D297353CC}">
              <c16:uniqueId val="{00000000-48BB-48CE-B55F-433902A230EA}"/>
            </c:ext>
          </c:extLst>
        </c:ser>
        <c:dLbls>
          <c:dLblPos val="t"/>
          <c:showLegendKey val="0"/>
          <c:showVal val="1"/>
          <c:showCatName val="0"/>
          <c:showSerName val="0"/>
          <c:showPercent val="0"/>
          <c:showBubbleSize val="0"/>
        </c:dLbls>
        <c:marker val="1"/>
        <c:smooth val="0"/>
        <c:axId val="545155408"/>
        <c:axId val="545157328"/>
      </c:lineChart>
      <c:catAx>
        <c:axId val="545155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45157328"/>
        <c:crosses val="autoZero"/>
        <c:auto val="1"/>
        <c:lblAlgn val="ctr"/>
        <c:lblOffset val="100"/>
        <c:noMultiLvlLbl val="0"/>
      </c:catAx>
      <c:valAx>
        <c:axId val="545157328"/>
        <c:scaling>
          <c:orientation val="minMax"/>
        </c:scaling>
        <c:delete val="1"/>
        <c:axPos val="l"/>
        <c:numFmt formatCode="General" sourceLinked="1"/>
        <c:majorTickMark val="out"/>
        <c:minorTickMark val="none"/>
        <c:tickLblPos val="nextTo"/>
        <c:crossAx val="545155408"/>
        <c:crosses val="autoZero"/>
        <c:crossBetween val="between"/>
      </c:valAx>
      <c:spPr>
        <a:solidFill>
          <a:srgbClr val="F8F9CF"/>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solidFill>
                  <a:schemeClr val="tx1"/>
                </a:solidFill>
              </a:rPr>
              <a:t>Year</a:t>
            </a:r>
            <a:r>
              <a:rPr lang="en-US" sz="1400" b="1" baseline="0">
                <a:solidFill>
                  <a:schemeClr val="tx1"/>
                </a:solidFill>
              </a:rPr>
              <a:t>ly Revenue Trend</a:t>
            </a:r>
          </a:p>
        </c:rich>
      </c:tx>
      <c:layout>
        <c:manualLayout>
          <c:xMode val="edge"/>
          <c:yMode val="edge"/>
          <c:x val="0.2349011588275392"/>
          <c:y val="3.97350993377483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546586584652379E-2"/>
              <c:y val="-2.0235233496190717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6185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1.324503311258282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33214176448803E-4"/>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7191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8.0940933984762867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1191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112073467281"/>
          <c:y val="0.17452538631346579"/>
          <c:w val="0.77215400222211483"/>
          <c:h val="0.77690949227373074"/>
        </c:manualLayout>
      </c:layout>
      <c:barChart>
        <c:barDir val="bar"/>
        <c:grouping val="clustered"/>
        <c:varyColors val="0"/>
        <c:ser>
          <c:idx val="0"/>
          <c:order val="0"/>
          <c:tx>
            <c:strRef>
              <c:f>'Pivot Table'!$M$7</c:f>
              <c:strCache>
                <c:ptCount val="1"/>
                <c:pt idx="0">
                  <c:v>Total</c:v>
                </c:pt>
              </c:strCache>
            </c:strRef>
          </c:tx>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693-4C04-AF6D-850501F2A387}"/>
              </c:ext>
            </c:extLst>
          </c:dPt>
          <c:dPt>
            <c:idx val="1"/>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8693-4C04-AF6D-850501F2A387}"/>
              </c:ext>
            </c:extLst>
          </c:dPt>
          <c:dPt>
            <c:idx val="2"/>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693-4C04-AF6D-850501F2A387}"/>
              </c:ext>
            </c:extLst>
          </c:dPt>
          <c:dPt>
            <c:idx val="3"/>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8693-4C04-AF6D-850501F2A387}"/>
              </c:ext>
            </c:extLst>
          </c:dPt>
          <c:dPt>
            <c:idx val="4"/>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693-4C04-AF6D-850501F2A387}"/>
              </c:ext>
            </c:extLst>
          </c:dPt>
          <c:dPt>
            <c:idx val="5"/>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8693-4C04-AF6D-850501F2A387}"/>
              </c:ext>
            </c:extLst>
          </c:dPt>
          <c:dPt>
            <c:idx val="6"/>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693-4C04-AF6D-850501F2A387}"/>
              </c:ext>
            </c:extLst>
          </c:dPt>
          <c:dPt>
            <c:idx val="7"/>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8693-4C04-AF6D-850501F2A387}"/>
              </c:ext>
            </c:extLst>
          </c:dPt>
          <c:dPt>
            <c:idx val="8"/>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693-4C04-AF6D-850501F2A387}"/>
              </c:ext>
            </c:extLst>
          </c:dPt>
          <c:dPt>
            <c:idx val="9"/>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8693-4C04-AF6D-850501F2A387}"/>
              </c:ext>
            </c:extLst>
          </c:dPt>
          <c:dPt>
            <c:idx val="10"/>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693-4C04-AF6D-850501F2A387}"/>
              </c:ext>
            </c:extLst>
          </c:dPt>
          <c:dLbls>
            <c:dLbl>
              <c:idx val="0"/>
              <c:layout>
                <c:manualLayout>
                  <c:x val="-4.539984649158119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93-4C04-AF6D-850501F2A387}"/>
                </c:ext>
              </c:extLst>
            </c:dLbl>
            <c:dLbl>
              <c:idx val="1"/>
              <c:layout>
                <c:manualLayout>
                  <c:x val="3.6399744510463797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93-4C04-AF6D-850501F2A387}"/>
                </c:ext>
              </c:extLst>
            </c:dLbl>
            <c:dLbl>
              <c:idx val="2"/>
              <c:layout>
                <c:manualLayout>
                  <c:x val="-4.539984649158218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93-4C04-AF6D-850501F2A387}"/>
                </c:ext>
              </c:extLst>
            </c:dLbl>
            <c:dLbl>
              <c:idx val="3"/>
              <c:layout>
                <c:manualLayout>
                  <c:x val="-1.8133316157566194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93-4C04-AF6D-850501F2A387}"/>
                </c:ext>
              </c:extLst>
            </c:dLbl>
            <c:dLbl>
              <c:idx val="4"/>
              <c:layout>
                <c:manualLayout>
                  <c:x val="3.6399744510463797E-3"/>
                  <c:y val="-8.094093398476286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93-4C04-AF6D-850501F2A387}"/>
                </c:ext>
              </c:extLst>
            </c:dLbl>
            <c:dLbl>
              <c:idx val="5"/>
              <c:layout>
                <c:manualLayout>
                  <c:x val="-7.2666376825597191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93-4C04-AF6D-850501F2A387}"/>
                </c:ext>
              </c:extLst>
            </c:dLbl>
            <c:dLbl>
              <c:idx val="6"/>
              <c:layout>
                <c:manualLayout>
                  <c:x val="9.133214176448803E-4"/>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93-4C04-AF6D-850501F2A387}"/>
                </c:ext>
              </c:extLst>
            </c:dLbl>
            <c:dLbl>
              <c:idx val="7"/>
              <c:layout>
                <c:manualLayout>
                  <c:x val="-1.8133316157566194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93-4C04-AF6D-850501F2A387}"/>
                </c:ext>
              </c:extLst>
            </c:dLbl>
            <c:dLbl>
              <c:idx val="8"/>
              <c:layout>
                <c:manualLayout>
                  <c:x val="-4.5399846491582189E-3"/>
                  <c:y val="-1.32450331125828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93-4C04-AF6D-850501F2A387}"/>
                </c:ext>
              </c:extLst>
            </c:dLbl>
            <c:dLbl>
              <c:idx val="9"/>
              <c:layout>
                <c:manualLayout>
                  <c:x val="-7.2666376825596185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93-4C04-AF6D-850501F2A387}"/>
                </c:ext>
              </c:extLst>
            </c:dLbl>
            <c:dLbl>
              <c:idx val="10"/>
              <c:layout>
                <c:manualLayout>
                  <c:x val="1.4546586584652379E-2"/>
                  <c:y val="-2.023523349619071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93-4C04-AF6D-850501F2A38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Table'!$L$8:$L$18</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'Pivot Table'!$M$8:$M$18</c:f>
              <c:numCache>
                <c:formatCode>_("$"* #,##0.00_);_("$"* \(#,##0.00\);_("$"* "-"??_);_(@_)</c:formatCode>
                <c:ptCount val="11"/>
                <c:pt idx="0">
                  <c:v>770</c:v>
                </c:pt>
                <c:pt idx="1">
                  <c:v>674</c:v>
                </c:pt>
                <c:pt idx="2">
                  <c:v>755</c:v>
                </c:pt>
                <c:pt idx="3">
                  <c:v>765</c:v>
                </c:pt>
                <c:pt idx="4">
                  <c:v>730</c:v>
                </c:pt>
                <c:pt idx="5">
                  <c:v>732</c:v>
                </c:pt>
                <c:pt idx="6">
                  <c:v>521</c:v>
                </c:pt>
                <c:pt idx="7">
                  <c:v>659</c:v>
                </c:pt>
                <c:pt idx="8">
                  <c:v>569</c:v>
                </c:pt>
                <c:pt idx="9">
                  <c:v>526</c:v>
                </c:pt>
                <c:pt idx="10">
                  <c:v>504</c:v>
                </c:pt>
              </c:numCache>
            </c:numRef>
          </c:val>
          <c:extLst>
            <c:ext xmlns:c16="http://schemas.microsoft.com/office/drawing/2014/chart" uri="{C3380CC4-5D6E-409C-BE32-E72D297353CC}">
              <c16:uniqueId val="{00000000-8693-4C04-AF6D-850501F2A387}"/>
            </c:ext>
          </c:extLst>
        </c:ser>
        <c:dLbls>
          <c:dLblPos val="inEnd"/>
          <c:showLegendKey val="0"/>
          <c:showVal val="1"/>
          <c:showCatName val="0"/>
          <c:showSerName val="0"/>
          <c:showPercent val="0"/>
          <c:showBubbleSize val="0"/>
        </c:dLbls>
        <c:gapWidth val="115"/>
        <c:overlap val="-20"/>
        <c:axId val="672368544"/>
        <c:axId val="672360384"/>
      </c:barChart>
      <c:catAx>
        <c:axId val="6723685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72360384"/>
        <c:crosses val="autoZero"/>
        <c:auto val="1"/>
        <c:lblAlgn val="ctr"/>
        <c:lblOffset val="100"/>
        <c:noMultiLvlLbl val="0"/>
      </c:catAx>
      <c:valAx>
        <c:axId val="672360384"/>
        <c:scaling>
          <c:orientation val="minMax"/>
        </c:scaling>
        <c:delete val="1"/>
        <c:axPos val="b"/>
        <c:numFmt formatCode="_(&quot;$&quot;* #,##0.00_);_(&quot;$&quot;* \(#,##0.00\);_(&quot;$&quot;* &quot;-&quot;??_);_(@_)" sourceLinked="1"/>
        <c:majorTickMark val="none"/>
        <c:minorTickMark val="none"/>
        <c:tickLblPos val="nextTo"/>
        <c:crossAx val="67236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Highest-Selling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712C0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12C0D"/>
          </a:solidFill>
          <a:ln w="19050">
            <a:solidFill>
              <a:schemeClr val="lt1"/>
            </a:solidFill>
          </a:ln>
          <a:effectLst/>
        </c:spPr>
        <c:dLbl>
          <c:idx val="0"/>
          <c:layout>
            <c:manualLayout>
              <c:x val="6.944444444444444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8F99B"/>
          </a:solidFill>
          <a:ln w="19050">
            <a:solidFill>
              <a:schemeClr val="lt1"/>
            </a:solidFill>
          </a:ln>
          <a:effectLst/>
        </c:spPr>
        <c:dLbl>
          <c:idx val="0"/>
          <c:layout>
            <c:manualLayout>
              <c:x val="-7.4999999999999997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Table'!$I$11</c:f>
              <c:strCache>
                <c:ptCount val="1"/>
                <c:pt idx="0">
                  <c:v>Total</c:v>
                </c:pt>
              </c:strCache>
            </c:strRef>
          </c:tx>
          <c:spPr>
            <a:solidFill>
              <a:srgbClr val="712C0D"/>
            </a:solidFill>
          </c:spPr>
          <c:dPt>
            <c:idx val="0"/>
            <c:bubble3D val="0"/>
            <c:spPr>
              <a:solidFill>
                <a:srgbClr val="712C0D"/>
              </a:solidFill>
              <a:ln w="19050">
                <a:solidFill>
                  <a:schemeClr val="lt1"/>
                </a:solidFill>
              </a:ln>
              <a:effectLst/>
            </c:spPr>
            <c:extLst>
              <c:ext xmlns:c16="http://schemas.microsoft.com/office/drawing/2014/chart" uri="{C3380CC4-5D6E-409C-BE32-E72D297353CC}">
                <c16:uniqueId val="{00000001-1276-4019-996B-17684C5D962D}"/>
              </c:ext>
            </c:extLst>
          </c:dPt>
          <c:dPt>
            <c:idx val="1"/>
            <c:bubble3D val="0"/>
            <c:spPr>
              <a:solidFill>
                <a:srgbClr val="F8F99B"/>
              </a:solidFill>
              <a:ln w="19050">
                <a:solidFill>
                  <a:schemeClr val="lt1"/>
                </a:solidFill>
              </a:ln>
              <a:effectLst/>
            </c:spPr>
            <c:extLst>
              <c:ext xmlns:c16="http://schemas.microsoft.com/office/drawing/2014/chart" uri="{C3380CC4-5D6E-409C-BE32-E72D297353CC}">
                <c16:uniqueId val="{00000003-1276-4019-996B-17684C5D962D}"/>
              </c:ext>
            </c:extLst>
          </c:dPt>
          <c:dLbls>
            <c:dLbl>
              <c:idx val="0"/>
              <c:layout>
                <c:manualLayout>
                  <c:x val="6.9444444444444448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76-4019-996B-17684C5D962D}"/>
                </c:ext>
              </c:extLst>
            </c:dLbl>
            <c:dLbl>
              <c:idx val="1"/>
              <c:layout>
                <c:manualLayout>
                  <c:x val="-7.4999999999999997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76-4019-996B-17684C5D962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Table'!$H$12:$H$13</c:f>
              <c:strCache>
                <c:ptCount val="2"/>
                <c:pt idx="0">
                  <c:v>Fiction</c:v>
                </c:pt>
                <c:pt idx="1">
                  <c:v>Non Fiction</c:v>
                </c:pt>
              </c:strCache>
            </c:strRef>
          </c:cat>
          <c:val>
            <c:numRef>
              <c:f>'Pivot Table'!$I$12:$I$13</c:f>
              <c:numCache>
                <c:formatCode>General</c:formatCode>
                <c:ptCount val="2"/>
                <c:pt idx="0">
                  <c:v>240</c:v>
                </c:pt>
                <c:pt idx="1">
                  <c:v>310</c:v>
                </c:pt>
              </c:numCache>
            </c:numRef>
          </c:val>
          <c:extLst>
            <c:ext xmlns:c16="http://schemas.microsoft.com/office/drawing/2014/chart" uri="{C3380CC4-5D6E-409C-BE32-E72D297353CC}">
              <c16:uniqueId val="{00000004-1276-4019-996B-17684C5D962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Table!PivotTable4</c:name>
    <c:fmtId val="10"/>
  </c:pivotSource>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r>
              <a:rPr lang="en-US" sz="1400" cap="none" baseline="0">
                <a:solidFill>
                  <a:schemeClr val="tx1"/>
                </a:solidFill>
                <a:latin typeface="+mn-lt"/>
                <a:cs typeface="Times New Roman" panose="02020603050405020304" pitchFamily="18" charset="0"/>
              </a:rPr>
              <a:t>Top Author by Total Reviews</a:t>
            </a:r>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2C0D"/>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12C0D"/>
          </a:solidFill>
          <a:ln>
            <a:noFill/>
          </a:ln>
          <a:effectLst/>
        </c:spPr>
        <c:dLbl>
          <c:idx val="0"/>
          <c:layout>
            <c:manualLayout>
              <c:x val="-5.3981106612685688E-3"/>
              <c:y val="-0.2798353909465020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5D6E57-D82F-4355-AD47-B3BFFAA1CBBD}"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712C0D"/>
          </a:solidFill>
          <a:ln>
            <a:noFill/>
          </a:ln>
          <a:effectLst/>
        </c:spPr>
        <c:dLbl>
          <c:idx val="0"/>
          <c:layout>
            <c:manualLayout>
              <c:x val="-2.4741054720038852E-17"/>
              <c:y val="-0.189814976831599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29C37D-6FF3-414E-B94F-76879EFE83E4}"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712C0D"/>
          </a:solidFill>
          <a:ln>
            <a:noFill/>
          </a:ln>
          <a:effectLst/>
        </c:spPr>
        <c:dLbl>
          <c:idx val="0"/>
          <c:layout>
            <c:manualLayout>
              <c:x val="0"/>
              <c:y val="-0.173353747448235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4D6F5C-0929-4C20-B917-D665580D0F4D}"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712C0D"/>
          </a:solidFill>
          <a:ln>
            <a:noFill/>
          </a:ln>
          <a:effectLst/>
        </c:spPr>
        <c:dLbl>
          <c:idx val="0"/>
          <c:layout>
            <c:manualLayout>
              <c:x val="-8.0971659919028827E-3"/>
              <c:y val="-0.220164609053497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0E990B-F16E-49C6-8FFC-73B2A37861B5}"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712C0D"/>
          </a:solidFill>
          <a:ln>
            <a:noFill/>
          </a:ln>
          <a:effectLst/>
        </c:spPr>
        <c:dLbl>
          <c:idx val="0"/>
          <c:layout>
            <c:manualLayout>
              <c:x val="-2.7776892260938007E-3"/>
              <c:y val="-0.1682100385599948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CA883E-3C12-4CB6-858A-C01D235FE1BE}"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712C0D"/>
          </a:solidFill>
          <a:ln>
            <a:noFill/>
          </a:ln>
          <a:effectLst/>
        </c:spPr>
        <c:dLbl>
          <c:idx val="0"/>
          <c:layout>
            <c:manualLayout>
              <c:x val="1.5748031496062991E-4"/>
              <c:y val="-0.2006172839506172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361AD2-AC96-4DE4-98FF-D55F2FF7C47F}"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712C0D"/>
          </a:solidFill>
          <a:ln>
            <a:noFill/>
          </a:ln>
          <a:effectLst/>
        </c:spPr>
        <c:dLbl>
          <c:idx val="0"/>
          <c:layout>
            <c:manualLayout>
              <c:x val="-2.9351695410544309E-3"/>
              <c:y val="-0.181069958847736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46F565-0934-4036-B8E1-6FB321AABE30}"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712C0D"/>
          </a:solidFill>
          <a:ln>
            <a:noFill/>
          </a:ln>
          <a:effectLst/>
        </c:spPr>
        <c:dLbl>
          <c:idx val="0"/>
          <c:layout>
            <c:manualLayout>
              <c:x val="-5.3981106612686547E-3"/>
              <c:y val="-0.2062758821813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6A98D7-E036-4161-A50A-DC54B6F62972}"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712C0D"/>
          </a:solidFill>
          <a:ln>
            <a:noFill/>
          </a:ln>
          <a:effectLst/>
        </c:spPr>
        <c:dLbl>
          <c:idx val="0"/>
          <c:layout>
            <c:manualLayout>
              <c:x val="0"/>
              <c:y val="-0.193929879135478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023B16-6FF7-43C4-B527-B523F0910092}"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712C0D"/>
          </a:solidFill>
          <a:ln>
            <a:noFill/>
          </a:ln>
          <a:effectLst/>
        </c:spPr>
        <c:dLbl>
          <c:idx val="0"/>
          <c:layout>
            <c:manualLayout>
              <c:x val="2.9351695410543316E-3"/>
              <c:y val="-0.181584524156702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F03827-0984-4776-B43A-1DE964AF6996}"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712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12C0D"/>
          </a:solidFill>
          <a:ln>
            <a:noFill/>
          </a:ln>
          <a:effectLst/>
        </c:spPr>
        <c:dLbl>
          <c:idx val="0"/>
          <c:layout>
            <c:manualLayout>
              <c:x val="-5.3981106612685688E-3"/>
              <c:y val="-0.2798353909465020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5D6E57-D82F-4355-AD47-B3BFFAA1CBBD}"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712C0D"/>
          </a:solidFill>
          <a:ln>
            <a:noFill/>
          </a:ln>
          <a:effectLst/>
        </c:spPr>
        <c:dLbl>
          <c:idx val="0"/>
          <c:layout>
            <c:manualLayout>
              <c:x val="-2.4741054720038852E-17"/>
              <c:y val="-0.189814976831599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29C37D-6FF3-414E-B94F-76879EFE83E4}"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712C0D"/>
          </a:solidFill>
          <a:ln>
            <a:noFill/>
          </a:ln>
          <a:effectLst/>
        </c:spPr>
        <c:dLbl>
          <c:idx val="0"/>
          <c:layout>
            <c:manualLayout>
              <c:x val="0"/>
              <c:y val="-0.173353747448235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4D6F5C-0929-4C20-B917-D665580D0F4D}"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712C0D"/>
          </a:solidFill>
          <a:ln>
            <a:noFill/>
          </a:ln>
          <a:effectLst/>
        </c:spPr>
        <c:dLbl>
          <c:idx val="0"/>
          <c:layout>
            <c:manualLayout>
              <c:x val="-8.0971659919028827E-3"/>
              <c:y val="-0.220164609053497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0E990B-F16E-49C6-8FFC-73B2A37861B5}"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712C0D"/>
          </a:solidFill>
          <a:ln>
            <a:noFill/>
          </a:ln>
          <a:effectLst/>
        </c:spPr>
        <c:dLbl>
          <c:idx val="0"/>
          <c:layout>
            <c:manualLayout>
              <c:x val="-2.7776892260938007E-3"/>
              <c:y val="-0.1682100385599948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CA883E-3C12-4CB6-858A-C01D235FE1BE}"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712C0D"/>
          </a:solidFill>
          <a:ln>
            <a:noFill/>
          </a:ln>
          <a:effectLst/>
        </c:spPr>
        <c:dLbl>
          <c:idx val="0"/>
          <c:layout>
            <c:manualLayout>
              <c:x val="1.5748031496062991E-4"/>
              <c:y val="-0.2006172839506172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361AD2-AC96-4DE4-98FF-D55F2FF7C47F}"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712C0D"/>
          </a:solidFill>
          <a:ln>
            <a:noFill/>
          </a:ln>
          <a:effectLst/>
        </c:spPr>
        <c:dLbl>
          <c:idx val="0"/>
          <c:layout>
            <c:manualLayout>
              <c:x val="-2.9351695410544309E-3"/>
              <c:y val="-0.181069958847736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46F565-0934-4036-B8E1-6FB321AABE30}"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712C0D"/>
          </a:solidFill>
          <a:ln>
            <a:noFill/>
          </a:ln>
          <a:effectLst/>
        </c:spPr>
        <c:dLbl>
          <c:idx val="0"/>
          <c:layout>
            <c:manualLayout>
              <c:x val="-5.3981106612686547E-3"/>
              <c:y val="-0.2062758821813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6A98D7-E036-4161-A50A-DC54B6F62972}"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712C0D"/>
          </a:solidFill>
          <a:ln>
            <a:noFill/>
          </a:ln>
          <a:effectLst/>
        </c:spPr>
        <c:dLbl>
          <c:idx val="0"/>
          <c:layout>
            <c:manualLayout>
              <c:x val="0"/>
              <c:y val="-0.193929879135478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023B16-6FF7-43C4-B527-B523F0910092}"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712C0D"/>
          </a:solidFill>
          <a:ln>
            <a:noFill/>
          </a:ln>
          <a:effectLst/>
        </c:spPr>
        <c:dLbl>
          <c:idx val="0"/>
          <c:layout>
            <c:manualLayout>
              <c:x val="2.9351695410543316E-3"/>
              <c:y val="-0.181584524156702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F03827-0984-4776-B43A-1DE964AF6996}"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712C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12C0D"/>
          </a:solidFill>
          <a:ln>
            <a:noFill/>
          </a:ln>
          <a:effectLst/>
        </c:spPr>
        <c:dLbl>
          <c:idx val="0"/>
          <c:layout>
            <c:manualLayout>
              <c:x val="-5.3981106612685688E-3"/>
              <c:y val="-0.2798353909465020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F55D6E57-D82F-4355-AD47-B3BFFAA1CBBD}"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712C0D"/>
          </a:solidFill>
          <a:ln>
            <a:noFill/>
          </a:ln>
          <a:effectLst/>
        </c:spPr>
        <c:dLbl>
          <c:idx val="0"/>
          <c:layout>
            <c:manualLayout>
              <c:x val="-2.4741054720038852E-17"/>
              <c:y val="-0.1898149768315997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6429C37D-6FF3-414E-B94F-76879EFE83E4}"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712C0D"/>
          </a:solidFill>
          <a:ln>
            <a:noFill/>
          </a:ln>
          <a:effectLst/>
        </c:spPr>
        <c:dLbl>
          <c:idx val="0"/>
          <c:layout>
            <c:manualLayout>
              <c:x val="-5.6504213345673349E-3"/>
              <c:y val="-0.2857091367341629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3F4D6F5C-0929-4C20-B917-D665580D0F4D}" type="VALUE">
                  <a:rPr lang="en-US" b="1">
                    <a:solidFill>
                      <a:schemeClr val="tx1"/>
                    </a:solidFill>
                  </a:rPr>
                  <a:pPr>
                    <a:defRPr sz="900" b="1"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rgbClr val="712C0D"/>
          </a:solidFill>
          <a:ln>
            <a:noFill/>
          </a:ln>
          <a:effectLst/>
        </c:spPr>
        <c:dLbl>
          <c:idx val="0"/>
          <c:layout>
            <c:manualLayout>
              <c:x val="-8.0971659919028827E-3"/>
              <c:y val="-0.2201646090534979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60E990B-F16E-49C6-8FFC-73B2A37861B5}"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rgbClr val="712C0D"/>
          </a:solidFill>
          <a:ln>
            <a:noFill/>
          </a:ln>
          <a:effectLst/>
        </c:spPr>
        <c:dLbl>
          <c:idx val="0"/>
          <c:layout>
            <c:manualLayout>
              <c:x val="-2.7776892260938007E-3"/>
              <c:y val="-0.168210038559994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B8CA883E-3C12-4CB6-858A-C01D235FE1BE}"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rgbClr val="712C0D"/>
          </a:solidFill>
          <a:ln>
            <a:noFill/>
          </a:ln>
          <a:effectLst/>
        </c:spPr>
        <c:dLbl>
          <c:idx val="0"/>
          <c:layout>
            <c:manualLayout>
              <c:x val="1.5748031496062991E-4"/>
              <c:y val="-0.2006172839506172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47361AD2-AC96-4DE4-98FF-D55F2FF7C47F}"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rgbClr val="712C0D"/>
          </a:solidFill>
          <a:ln>
            <a:noFill/>
          </a:ln>
          <a:effectLst/>
        </c:spPr>
        <c:dLbl>
          <c:idx val="0"/>
          <c:layout>
            <c:manualLayout>
              <c:x val="-7.172920689440386E-3"/>
              <c:y val="-0.2851026336846092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E46F565-0934-4036-B8E1-6FB321AABE30}"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402550253156672"/>
                  <c:h val="7.4841362262862546E-2"/>
                </c:manualLayout>
              </c15:layout>
              <c15:dlblFieldTable/>
              <c15:showDataLabelsRange val="0"/>
            </c:ext>
          </c:extLst>
        </c:dLbl>
      </c:pivotFmt>
      <c:pivotFmt>
        <c:idx val="32"/>
        <c:spPr>
          <a:solidFill>
            <a:srgbClr val="712C0D"/>
          </a:solidFill>
          <a:ln>
            <a:noFill/>
          </a:ln>
          <a:effectLst/>
        </c:spPr>
        <c:dLbl>
          <c:idx val="0"/>
          <c:layout>
            <c:manualLayout>
              <c:x val="-5.3981106612686547E-3"/>
              <c:y val="-0.20627588218139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D6A98D7-E036-4161-A50A-DC54B6F62972}"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solidFill>
            <a:srgbClr val="712C0D"/>
          </a:solidFill>
          <a:ln>
            <a:noFill/>
          </a:ln>
          <a:effectLst/>
        </c:spPr>
        <c:dLbl>
          <c:idx val="0"/>
          <c:layout>
            <c:manualLayout>
              <c:x val="0"/>
              <c:y val="-0.1939298791354784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9023B16-6FF7-43C4-B527-B523F0910092}"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rgbClr val="712C0D"/>
          </a:solidFill>
          <a:ln>
            <a:noFill/>
          </a:ln>
          <a:effectLst/>
        </c:spPr>
        <c:dLbl>
          <c:idx val="0"/>
          <c:layout>
            <c:manualLayout>
              <c:x val="2.2917725532762237E-2"/>
              <c:y val="-0.2605619571431417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3F03827-0984-4776-B43A-1DE964AF6996}"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29134268799415"/>
                  <c:h val="8.3339109342760676E-2"/>
                </c:manualLayout>
              </c15:layout>
              <c15:dlblFieldTable/>
              <c15:showDataLabelsRange val="0"/>
            </c:ext>
          </c:extLst>
        </c:dLbl>
      </c:pivotFmt>
      <c:pivotFmt>
        <c:idx val="35"/>
        <c:dLbl>
          <c:idx val="0"/>
          <c:layout>
            <c:manualLayout>
              <c:x val="1.6951264003701689E-2"/>
              <c:y val="-0.2475980709860868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002918642831"/>
                  <c:h val="6.2357425910622877E-2"/>
                </c:manualLayout>
              </c15:layout>
            </c:ext>
          </c:extLst>
        </c:dLbl>
      </c:pivotFmt>
      <c:pivotFmt>
        <c:idx val="36"/>
        <c:dLbl>
          <c:idx val="0"/>
          <c:layout>
            <c:manualLayout>
              <c:x val="8.4756320018508462E-3"/>
              <c:y val="-0.2039041299220622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9420498126907578E-2"/>
                  <c:h val="9.5647922849928652E-2"/>
                </c:manualLayout>
              </c15:layout>
            </c:ext>
          </c:extLst>
        </c:dLbl>
      </c:pivotFmt>
      <c:pivotFmt>
        <c:idx val="37"/>
        <c:dLbl>
          <c:idx val="0"/>
          <c:layout>
            <c:manualLayout>
              <c:x val="8.4756320018508462E-3"/>
              <c:y val="-0.2039041299220622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7016488552335361E-2"/>
                  <c:h val="8.7325298615102201E-2"/>
                </c:manualLayout>
              </c15:layout>
            </c:ext>
          </c:extLst>
        </c:dLbl>
      </c:pivotFmt>
      <c:pivotFmt>
        <c:idx val="38"/>
        <c:dLbl>
          <c:idx val="0"/>
          <c:layout>
            <c:manualLayout>
              <c:x val="2.8252106672836154E-3"/>
              <c:y val="-0.187258881452409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9841699219618973E-2"/>
                  <c:h val="8.7325298615102201E-2"/>
                </c:manualLayout>
              </c15:layout>
            </c:ext>
          </c:extLst>
        </c:dLbl>
      </c:pivotFmt>
      <c:pivotFmt>
        <c:idx val="39"/>
        <c:dLbl>
          <c:idx val="0"/>
          <c:layout>
            <c:manualLayout>
              <c:x val="-2.8252106672836154E-3"/>
              <c:y val="-0.262162663397033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2.8252106672835898E-3"/>
              <c:y val="-0.18725904528359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2.8252106672836154E-3"/>
              <c:y val="-0.253840039162206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CF55DC37-4337-4BFA-A9D7-5D9C7711592D}" type="VALUE">
                  <a:rPr lang="en-US" b="1">
                    <a:solidFill>
                      <a:schemeClr val="tx1"/>
                    </a:solidFill>
                  </a:rPr>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solidFill>
            <a:srgbClr val="712C0D"/>
          </a:solidFill>
          <a:ln>
            <a:noFill/>
          </a:ln>
          <a:effectLst/>
        </c:spPr>
        <c:dLbl>
          <c:idx val="0"/>
          <c:layout>
            <c:manualLayout>
              <c:x val="-5.6504213345672308E-3"/>
              <c:y val="-0.124839363522396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712C0D"/>
          </a:solidFill>
          <a:ln>
            <a:noFill/>
          </a:ln>
          <a:effectLst/>
        </c:spPr>
        <c:dLbl>
          <c:idx val="0"/>
          <c:layout>
            <c:manualLayout>
              <c:x val="-8.4756320018508462E-3"/>
              <c:y val="-0.15396854834428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712C0D"/>
          </a:solidFill>
          <a:ln>
            <a:noFill/>
          </a:ln>
          <a:effectLst/>
        </c:spPr>
        <c:dLbl>
          <c:idx val="0"/>
          <c:layout>
            <c:manualLayout>
              <c:x val="2.8252106672836154E-3"/>
              <c:y val="-0.15812986046170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408566434549"/>
          <c:y val="0.13757196749120185"/>
          <c:w val="0.86286521656057358"/>
          <c:h val="0.53785165743170993"/>
        </c:manualLayout>
      </c:layout>
      <c:barChart>
        <c:barDir val="col"/>
        <c:grouping val="stacked"/>
        <c:varyColors val="0"/>
        <c:ser>
          <c:idx val="0"/>
          <c:order val="0"/>
          <c:tx>
            <c:strRef>
              <c:f>'Pivot Table'!$F$7</c:f>
              <c:strCache>
                <c:ptCount val="1"/>
                <c:pt idx="0">
                  <c:v>Total</c:v>
                </c:pt>
              </c:strCache>
            </c:strRef>
          </c:tx>
          <c:spPr>
            <a:solidFill>
              <a:srgbClr val="712C0D"/>
            </a:solidFill>
            <a:ln>
              <a:noFill/>
            </a:ln>
            <a:effectLst/>
          </c:spPr>
          <c:invertIfNegative val="0"/>
          <c:dPt>
            <c:idx val="0"/>
            <c:invertIfNegative val="0"/>
            <c:bubble3D val="0"/>
            <c:spPr>
              <a:solidFill>
                <a:srgbClr val="712C0D"/>
              </a:solidFill>
              <a:ln>
                <a:noFill/>
              </a:ln>
              <a:effectLst/>
            </c:spPr>
            <c:extLst>
              <c:ext xmlns:c16="http://schemas.microsoft.com/office/drawing/2014/chart" uri="{C3380CC4-5D6E-409C-BE32-E72D297353CC}">
                <c16:uniqueId val="{00000000-9B8B-4419-91BF-D044DBA8102C}"/>
              </c:ext>
            </c:extLst>
          </c:dPt>
          <c:dPt>
            <c:idx val="1"/>
            <c:invertIfNegative val="0"/>
            <c:bubble3D val="0"/>
            <c:spPr>
              <a:solidFill>
                <a:srgbClr val="712C0D"/>
              </a:solidFill>
              <a:ln>
                <a:noFill/>
              </a:ln>
              <a:effectLst/>
            </c:spPr>
            <c:extLst>
              <c:ext xmlns:c16="http://schemas.microsoft.com/office/drawing/2014/chart" uri="{C3380CC4-5D6E-409C-BE32-E72D297353CC}">
                <c16:uniqueId val="{00000001-9B8B-4419-91BF-D044DBA8102C}"/>
              </c:ext>
            </c:extLst>
          </c:dPt>
          <c:dPt>
            <c:idx val="2"/>
            <c:invertIfNegative val="0"/>
            <c:bubble3D val="0"/>
            <c:spPr>
              <a:solidFill>
                <a:srgbClr val="712C0D"/>
              </a:solidFill>
              <a:ln>
                <a:noFill/>
              </a:ln>
              <a:effectLst/>
            </c:spPr>
            <c:extLst>
              <c:ext xmlns:c16="http://schemas.microsoft.com/office/drawing/2014/chart" uri="{C3380CC4-5D6E-409C-BE32-E72D297353CC}">
                <c16:uniqueId val="{00000002-9B8B-4419-91BF-D044DBA8102C}"/>
              </c:ext>
            </c:extLst>
          </c:dPt>
          <c:dPt>
            <c:idx val="3"/>
            <c:invertIfNegative val="0"/>
            <c:bubble3D val="0"/>
            <c:spPr>
              <a:solidFill>
                <a:srgbClr val="712C0D"/>
              </a:solidFill>
              <a:ln>
                <a:noFill/>
              </a:ln>
              <a:effectLst/>
            </c:spPr>
            <c:extLst>
              <c:ext xmlns:c16="http://schemas.microsoft.com/office/drawing/2014/chart" uri="{C3380CC4-5D6E-409C-BE32-E72D297353CC}">
                <c16:uniqueId val="{00000003-9B8B-4419-91BF-D044DBA8102C}"/>
              </c:ext>
            </c:extLst>
          </c:dPt>
          <c:dPt>
            <c:idx val="4"/>
            <c:invertIfNegative val="0"/>
            <c:bubble3D val="0"/>
            <c:spPr>
              <a:solidFill>
                <a:srgbClr val="712C0D"/>
              </a:solidFill>
              <a:ln>
                <a:noFill/>
              </a:ln>
              <a:effectLst/>
            </c:spPr>
            <c:extLst>
              <c:ext xmlns:c16="http://schemas.microsoft.com/office/drawing/2014/chart" uri="{C3380CC4-5D6E-409C-BE32-E72D297353CC}">
                <c16:uniqueId val="{00000004-9B8B-4419-91BF-D044DBA8102C}"/>
              </c:ext>
            </c:extLst>
          </c:dPt>
          <c:dPt>
            <c:idx val="5"/>
            <c:invertIfNegative val="0"/>
            <c:bubble3D val="0"/>
            <c:spPr>
              <a:solidFill>
                <a:srgbClr val="712C0D"/>
              </a:solidFill>
              <a:ln>
                <a:noFill/>
              </a:ln>
              <a:effectLst/>
            </c:spPr>
            <c:extLst>
              <c:ext xmlns:c16="http://schemas.microsoft.com/office/drawing/2014/chart" uri="{C3380CC4-5D6E-409C-BE32-E72D297353CC}">
                <c16:uniqueId val="{00000005-9B8B-4419-91BF-D044DBA8102C}"/>
              </c:ext>
            </c:extLst>
          </c:dPt>
          <c:dPt>
            <c:idx val="6"/>
            <c:invertIfNegative val="0"/>
            <c:bubble3D val="0"/>
            <c:spPr>
              <a:solidFill>
                <a:srgbClr val="712C0D"/>
              </a:solidFill>
              <a:ln>
                <a:noFill/>
              </a:ln>
              <a:effectLst/>
            </c:spPr>
            <c:extLst>
              <c:ext xmlns:c16="http://schemas.microsoft.com/office/drawing/2014/chart" uri="{C3380CC4-5D6E-409C-BE32-E72D297353CC}">
                <c16:uniqueId val="{00000006-9B8B-4419-91BF-D044DBA8102C}"/>
              </c:ext>
            </c:extLst>
          </c:dPt>
          <c:dPt>
            <c:idx val="7"/>
            <c:invertIfNegative val="0"/>
            <c:bubble3D val="0"/>
            <c:spPr>
              <a:solidFill>
                <a:srgbClr val="712C0D"/>
              </a:solidFill>
              <a:ln>
                <a:noFill/>
              </a:ln>
              <a:effectLst/>
            </c:spPr>
            <c:extLst>
              <c:ext xmlns:c16="http://schemas.microsoft.com/office/drawing/2014/chart" uri="{C3380CC4-5D6E-409C-BE32-E72D297353CC}">
                <c16:uniqueId val="{00000007-9B8B-4419-91BF-D044DBA8102C}"/>
              </c:ext>
            </c:extLst>
          </c:dPt>
          <c:dPt>
            <c:idx val="8"/>
            <c:invertIfNegative val="0"/>
            <c:bubble3D val="0"/>
            <c:spPr>
              <a:solidFill>
                <a:srgbClr val="712C0D"/>
              </a:solidFill>
              <a:ln>
                <a:noFill/>
              </a:ln>
              <a:effectLst/>
            </c:spPr>
            <c:extLst>
              <c:ext xmlns:c16="http://schemas.microsoft.com/office/drawing/2014/chart" uri="{C3380CC4-5D6E-409C-BE32-E72D297353CC}">
                <c16:uniqueId val="{00000008-9B8B-4419-91BF-D044DBA8102C}"/>
              </c:ext>
            </c:extLst>
          </c:dPt>
          <c:dPt>
            <c:idx val="9"/>
            <c:invertIfNegative val="0"/>
            <c:bubble3D val="0"/>
            <c:spPr>
              <a:solidFill>
                <a:srgbClr val="712C0D"/>
              </a:solidFill>
              <a:ln>
                <a:noFill/>
              </a:ln>
              <a:effectLst/>
            </c:spPr>
            <c:extLst>
              <c:ext xmlns:c16="http://schemas.microsoft.com/office/drawing/2014/chart" uri="{C3380CC4-5D6E-409C-BE32-E72D297353CC}">
                <c16:uniqueId val="{00000009-9B8B-4419-91BF-D044DBA8102C}"/>
              </c:ext>
            </c:extLst>
          </c:dPt>
          <c:dLbls>
            <c:dLbl>
              <c:idx val="0"/>
              <c:layout>
                <c:manualLayout>
                  <c:x val="-5.3981106612685688E-3"/>
                  <c:y val="-0.27983539094650206"/>
                </c:manualLayout>
              </c:layout>
              <c:tx>
                <c:rich>
                  <a:bodyPr/>
                  <a:lstStyle/>
                  <a:p>
                    <a:fld id="{F55D6E57-D82F-4355-AD47-B3BFFAA1CBBD}"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B8B-4419-91BF-D044DBA8102C}"/>
                </c:ext>
              </c:extLst>
            </c:dLbl>
            <c:dLbl>
              <c:idx val="1"/>
              <c:layout>
                <c:manualLayout>
                  <c:x val="2.8252106672836154E-3"/>
                  <c:y val="-0.158129860461702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8B-4419-91BF-D044DBA8102C}"/>
                </c:ext>
              </c:extLst>
            </c:dLbl>
            <c:dLbl>
              <c:idx val="2"/>
              <c:layout>
                <c:manualLayout>
                  <c:x val="-2.4741054720038852E-17"/>
                  <c:y val="-0.18981497683159979"/>
                </c:manualLayout>
              </c:layout>
              <c:tx>
                <c:rich>
                  <a:bodyPr/>
                  <a:lstStyle/>
                  <a:p>
                    <a:fld id="{6429C37D-6FF3-414E-B94F-76879EFE83E4}"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B8B-4419-91BF-D044DBA8102C}"/>
                </c:ext>
              </c:extLst>
            </c:dLbl>
            <c:dLbl>
              <c:idx val="3"/>
              <c:layout>
                <c:manualLayout>
                  <c:x val="-5.6504213345672308E-3"/>
                  <c:y val="-0.124839363522396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8B-4419-91BF-D044DBA8102C}"/>
                </c:ext>
              </c:extLst>
            </c:dLbl>
            <c:dLbl>
              <c:idx val="4"/>
              <c:layout>
                <c:manualLayout>
                  <c:x val="-8.0971659919028827E-3"/>
                  <c:y val="-0.22016460905349794"/>
                </c:manualLayout>
              </c:layout>
              <c:tx>
                <c:rich>
                  <a:bodyPr/>
                  <a:lstStyle/>
                  <a:p>
                    <a:fld id="{A60E990B-F16E-49C6-8FFC-73B2A37861B5}"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B8B-4419-91BF-D044DBA8102C}"/>
                </c:ext>
              </c:extLst>
            </c:dLbl>
            <c:dLbl>
              <c:idx val="5"/>
              <c:layout>
                <c:manualLayout>
                  <c:x val="-2.7776892260938007E-3"/>
                  <c:y val="-0.16821003855999481"/>
                </c:manualLayout>
              </c:layout>
              <c:tx>
                <c:rich>
                  <a:bodyPr/>
                  <a:lstStyle/>
                  <a:p>
                    <a:fld id="{B8CA883E-3C12-4CB6-858A-C01D235FE1BE}"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B8B-4419-91BF-D044DBA8102C}"/>
                </c:ext>
              </c:extLst>
            </c:dLbl>
            <c:dLbl>
              <c:idx val="6"/>
              <c:layout>
                <c:manualLayout>
                  <c:x val="1.5748031496062991E-4"/>
                  <c:y val="-0.20061728395061729"/>
                </c:manualLayout>
              </c:layout>
              <c:tx>
                <c:rich>
                  <a:bodyPr/>
                  <a:lstStyle/>
                  <a:p>
                    <a:fld id="{47361AD2-AC96-4DE4-98FF-D55F2FF7C47F}"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9B8B-4419-91BF-D044DBA8102C}"/>
                </c:ext>
              </c:extLst>
            </c:dLbl>
            <c:dLbl>
              <c:idx val="7"/>
              <c:layout>
                <c:manualLayout>
                  <c:x val="-8.4756320018508462E-3"/>
                  <c:y val="-0.153968548344289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8B-4419-91BF-D044DBA8102C}"/>
                </c:ext>
              </c:extLst>
            </c:dLbl>
            <c:dLbl>
              <c:idx val="8"/>
              <c:layout>
                <c:manualLayout>
                  <c:x val="-5.3981106612686547E-3"/>
                  <c:y val="-0.206275882181394"/>
                </c:manualLayout>
              </c:layout>
              <c:tx>
                <c:rich>
                  <a:bodyPr/>
                  <a:lstStyle/>
                  <a:p>
                    <a:fld id="{ED6A98D7-E036-4161-A50A-DC54B6F62972}"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9B8B-4419-91BF-D044DBA8102C}"/>
                </c:ext>
              </c:extLst>
            </c:dLbl>
            <c:dLbl>
              <c:idx val="9"/>
              <c:layout>
                <c:manualLayout>
                  <c:x val="0"/>
                  <c:y val="-0.19392987913547843"/>
                </c:manualLayout>
              </c:layout>
              <c:tx>
                <c:rich>
                  <a:bodyPr/>
                  <a:lstStyle/>
                  <a:p>
                    <a:fld id="{E9023B16-6FF7-43C4-B527-B523F0910092}" type="VALUE">
                      <a:rPr lang="en-US" b="1">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B8B-4419-91BF-D044DBA810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Table'!$E$8:$E$17</c:f>
              <c:strCache>
                <c:ptCount val="10"/>
                <c:pt idx="0">
                  <c:v>Suzanne Collins</c:v>
                </c:pt>
                <c:pt idx="1">
                  <c:v>R. J. Palacio</c:v>
                </c:pt>
                <c:pt idx="2">
                  <c:v>Paula Hawkins</c:v>
                </c:pt>
                <c:pt idx="3">
                  <c:v>Kristin Hannah</c:v>
                </c:pt>
                <c:pt idx="4">
                  <c:v>John Green</c:v>
                </c:pt>
                <c:pt idx="5">
                  <c:v>Harper Lee</c:v>
                </c:pt>
                <c:pt idx="6">
                  <c:v>Gillian Flynn</c:v>
                </c:pt>
                <c:pt idx="7">
                  <c:v>Eric Carle</c:v>
                </c:pt>
                <c:pt idx="8">
                  <c:v>E L James</c:v>
                </c:pt>
                <c:pt idx="9">
                  <c:v>Dr. Seuss</c:v>
                </c:pt>
              </c:strCache>
            </c:strRef>
          </c:cat>
          <c:val>
            <c:numRef>
              <c:f>'Pivot Table'!$F$8:$F$17</c:f>
              <c:numCache>
                <c:formatCode>General</c:formatCode>
                <c:ptCount val="10"/>
                <c:pt idx="0">
                  <c:v>278329</c:v>
                </c:pt>
                <c:pt idx="1">
                  <c:v>108125</c:v>
                </c:pt>
                <c:pt idx="2">
                  <c:v>158892</c:v>
                </c:pt>
                <c:pt idx="3">
                  <c:v>98576</c:v>
                </c:pt>
                <c:pt idx="4">
                  <c:v>210419</c:v>
                </c:pt>
                <c:pt idx="5">
                  <c:v>146152</c:v>
                </c:pt>
                <c:pt idx="6">
                  <c:v>171813</c:v>
                </c:pt>
                <c:pt idx="7">
                  <c:v>136822</c:v>
                </c:pt>
                <c:pt idx="8">
                  <c:v>178011</c:v>
                </c:pt>
                <c:pt idx="9">
                  <c:v>176545</c:v>
                </c:pt>
              </c:numCache>
            </c:numRef>
          </c:val>
          <c:extLst>
            <c:ext xmlns:c16="http://schemas.microsoft.com/office/drawing/2014/chart" uri="{C3380CC4-5D6E-409C-BE32-E72D297353CC}">
              <c16:uniqueId val="{0000000A-9B8B-4419-91BF-D044DBA8102C}"/>
            </c:ext>
          </c:extLst>
        </c:ser>
        <c:dLbls>
          <c:dLblPos val="ctr"/>
          <c:showLegendKey val="0"/>
          <c:showVal val="1"/>
          <c:showCatName val="0"/>
          <c:showSerName val="0"/>
          <c:showPercent val="0"/>
          <c:showBubbleSize val="0"/>
        </c:dLbls>
        <c:gapWidth val="50"/>
        <c:overlap val="100"/>
        <c:axId val="545155888"/>
        <c:axId val="545152048"/>
      </c:barChart>
      <c:catAx>
        <c:axId val="54515588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5152048"/>
        <c:crosses val="autoZero"/>
        <c:auto val="1"/>
        <c:lblAlgn val="ctr"/>
        <c:lblOffset val="100"/>
        <c:noMultiLvlLbl val="0"/>
      </c:catAx>
      <c:valAx>
        <c:axId val="545152048"/>
        <c:scaling>
          <c:orientation val="minMax"/>
        </c:scaling>
        <c:delete val="1"/>
        <c:axPos val="l"/>
        <c:numFmt formatCode="General" sourceLinked="1"/>
        <c:majorTickMark val="none"/>
        <c:minorTickMark val="none"/>
        <c:tickLblPos val="nextTo"/>
        <c:crossAx val="54515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Distribution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712C0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dLbl>
          <c:idx val="0"/>
          <c:layout>
            <c:manualLayout>
              <c:x val="-3.5416666666666693E-2"/>
              <c:y val="-7.5567220764071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pivotFmt>
      <c:pivotFmt>
        <c:idx val="5"/>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pivotFmt>
      <c:pivotFmt>
        <c:idx val="6"/>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pivotFmt>
      <c:pivotFmt>
        <c:idx val="7"/>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pivotFmt>
      <c:pivotFmt>
        <c:idx val="8"/>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pivotFmt>
      <c:pivotFmt>
        <c:idx val="9"/>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pivotFmt>
      <c:pivotFmt>
        <c:idx val="10"/>
        <c:spPr>
          <a:solidFill>
            <a:schemeClr val="accent1"/>
          </a:solidFill>
          <a:ln w="28575" cap="rnd">
            <a:solidFill>
              <a:srgbClr val="712C0D"/>
            </a:solidFill>
            <a:round/>
          </a:ln>
          <a:effectLst/>
        </c:spPr>
        <c:marker>
          <c:symbol val="circle"/>
          <c:size val="5"/>
          <c:spPr>
            <a:solidFill>
              <a:srgbClr val="712C0D"/>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rgbClr val="712C0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dLbl>
          <c:idx val="0"/>
          <c:layout>
            <c:manualLayout>
              <c:x val="-3.5416666666666693E-2"/>
              <c:y val="-7.5567220764071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14"/>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15"/>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16"/>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17"/>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18"/>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19"/>
        <c:spPr>
          <a:solidFill>
            <a:schemeClr val="accent1"/>
          </a:solidFill>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0"/>
        <c:spPr>
          <a:ln w="28575" cap="rnd">
            <a:solidFill>
              <a:schemeClr val="accent1"/>
            </a:solidFill>
            <a:round/>
          </a:ln>
          <a:effectLst/>
        </c:spPr>
        <c:marker>
          <c:symbol val="circle"/>
          <c:size val="5"/>
          <c:spPr>
            <a:solidFill>
              <a:srgbClr val="712C0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712C0D"/>
            </a:solidFill>
            <a:round/>
          </a:ln>
          <a:effectLst/>
        </c:spPr>
        <c:marker>
          <c:symbol val="circle"/>
          <c:size val="5"/>
          <c:spPr>
            <a:solidFill>
              <a:srgbClr val="712C0D"/>
            </a:solidFill>
            <a:ln w="9525">
              <a:solidFill>
                <a:srgbClr val="712C0D"/>
              </a:solidFill>
            </a:ln>
            <a:effectLst/>
          </c:spPr>
        </c:marker>
        <c:dLbl>
          <c:idx val="0"/>
          <c:layout>
            <c:manualLayout>
              <c:x val="-3.5416666666666693E-2"/>
              <c:y val="-7.55672207640711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3"/>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4"/>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5"/>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6"/>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7"/>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8"/>
        <c:spPr>
          <a:ln w="28575" cap="rnd">
            <a:solidFill>
              <a:srgbClr val="712C0D"/>
            </a:solidFill>
            <a:round/>
          </a:ln>
          <a:effectLst/>
        </c:spPr>
        <c:marker>
          <c:symbol val="circle"/>
          <c:size val="5"/>
          <c:spPr>
            <a:solidFill>
              <a:srgbClr val="712C0D"/>
            </a:solidFill>
            <a:ln w="9525">
              <a:solidFill>
                <a:srgbClr val="712C0D"/>
              </a:solidFill>
            </a:ln>
            <a:effectLst/>
          </c:spPr>
        </c:marker>
      </c:pivotFmt>
      <c:pivotFmt>
        <c:idx val="29"/>
        <c:spPr>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s>
    <c:plotArea>
      <c:layout>
        <c:manualLayout>
          <c:layoutTarget val="inner"/>
          <c:xMode val="edge"/>
          <c:yMode val="edge"/>
          <c:x val="3.5151574803149607E-2"/>
          <c:y val="0.17171296296296296"/>
          <c:w val="0.8967368766404199"/>
          <c:h val="0.50804170312044328"/>
        </c:manualLayout>
      </c:layout>
      <c:lineChart>
        <c:grouping val="stacked"/>
        <c:varyColors val="0"/>
        <c:ser>
          <c:idx val="0"/>
          <c:order val="0"/>
          <c:tx>
            <c:strRef>
              <c:f>'Pivot Table'!$B$13</c:f>
              <c:strCache>
                <c:ptCount val="1"/>
                <c:pt idx="0">
                  <c:v>Total</c:v>
                </c:pt>
              </c:strCache>
            </c:strRef>
          </c:tx>
          <c:spPr>
            <a:ln w="28575" cap="rnd">
              <a:solidFill>
                <a:schemeClr val="accent1"/>
              </a:solidFill>
              <a:round/>
            </a:ln>
            <a:effectLst/>
          </c:spPr>
          <c:marker>
            <c:symbol val="circle"/>
            <c:size val="5"/>
            <c:spPr>
              <a:solidFill>
                <a:srgbClr val="712C0D"/>
              </a:solidFill>
              <a:ln w="9525">
                <a:solidFill>
                  <a:schemeClr val="accent1"/>
                </a:solidFill>
              </a:ln>
              <a:effectLst/>
            </c:spPr>
          </c:marker>
          <c:dPt>
            <c:idx val="0"/>
            <c:marker>
              <c:symbol val="circle"/>
              <c:size val="5"/>
              <c:spPr>
                <a:solidFill>
                  <a:schemeClr val="accent2"/>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0-8C2D-4B94-A79A-C05C5F9EB1BC}"/>
              </c:ext>
            </c:extLst>
          </c:dPt>
          <c:dPt>
            <c:idx val="1"/>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1-B4E4-41A6-8C26-A5F27EE271F1}"/>
              </c:ext>
            </c:extLst>
          </c:dPt>
          <c:dPt>
            <c:idx val="2"/>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3-B4E4-41A6-8C26-A5F27EE271F1}"/>
              </c:ext>
            </c:extLst>
          </c:dPt>
          <c:dPt>
            <c:idx val="3"/>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5-B4E4-41A6-8C26-A5F27EE271F1}"/>
              </c:ext>
            </c:extLst>
          </c:dPt>
          <c:dPt>
            <c:idx val="4"/>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7-B4E4-41A6-8C26-A5F27EE271F1}"/>
              </c:ext>
            </c:extLst>
          </c:dPt>
          <c:dPt>
            <c:idx val="5"/>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9-B4E4-41A6-8C26-A5F27EE271F1}"/>
              </c:ext>
            </c:extLst>
          </c:dPt>
          <c:dPt>
            <c:idx val="6"/>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B-B4E4-41A6-8C26-A5F27EE271F1}"/>
              </c:ext>
            </c:extLst>
          </c:dPt>
          <c:dPt>
            <c:idx val="7"/>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D-B4E4-41A6-8C26-A5F27EE271F1}"/>
              </c:ext>
            </c:extLst>
          </c:dPt>
          <c:dPt>
            <c:idx val="8"/>
            <c:marker>
              <c:symbol val="circle"/>
              <c:size val="5"/>
              <c:spPr>
                <a:solidFill>
                  <a:srgbClr val="712C0D"/>
                </a:solidFill>
                <a:ln w="9525">
                  <a:solidFill>
                    <a:srgbClr val="712C0D"/>
                  </a:solidFill>
                </a:ln>
                <a:effectLst/>
              </c:spPr>
            </c:marker>
            <c:bubble3D val="0"/>
            <c:spPr>
              <a:ln w="28575" cap="rnd">
                <a:solidFill>
                  <a:srgbClr val="712C0D"/>
                </a:solidFill>
                <a:round/>
              </a:ln>
              <a:effectLst/>
            </c:spPr>
            <c:extLst>
              <c:ext xmlns:c16="http://schemas.microsoft.com/office/drawing/2014/chart" uri="{C3380CC4-5D6E-409C-BE32-E72D297353CC}">
                <c16:uniqueId val="{0000000F-B4E4-41A6-8C26-A5F27EE271F1}"/>
              </c:ext>
            </c:extLst>
          </c:dPt>
          <c:dLbls>
            <c:dLbl>
              <c:idx val="1"/>
              <c:layout>
                <c:manualLayout>
                  <c:x val="-3.5416666666666693E-2"/>
                  <c:y val="-7.55672207640711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E4-41A6-8C26-A5F27EE271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Table'!$A$14:$A$22</c:f>
              <c:strCache>
                <c:ptCount val="9"/>
                <c:pt idx="0">
                  <c:v>0-9999</c:v>
                </c:pt>
                <c:pt idx="1">
                  <c:v>10000-19999</c:v>
                </c:pt>
                <c:pt idx="2">
                  <c:v>20000-29999</c:v>
                </c:pt>
                <c:pt idx="3">
                  <c:v>30000-39999</c:v>
                </c:pt>
                <c:pt idx="4">
                  <c:v>40000-49999</c:v>
                </c:pt>
                <c:pt idx="5">
                  <c:v>50000-59999</c:v>
                </c:pt>
                <c:pt idx="6">
                  <c:v>60000-69999</c:v>
                </c:pt>
                <c:pt idx="7">
                  <c:v>70000-79999</c:v>
                </c:pt>
                <c:pt idx="8">
                  <c:v>80000-89999</c:v>
                </c:pt>
              </c:strCache>
            </c:strRef>
          </c:cat>
          <c:val>
            <c:numRef>
              <c:f>'Pivot Table'!$B$14:$B$22</c:f>
              <c:numCache>
                <c:formatCode>General</c:formatCode>
                <c:ptCount val="9"/>
                <c:pt idx="0">
                  <c:v>325</c:v>
                </c:pt>
                <c:pt idx="1">
                  <c:v>119</c:v>
                </c:pt>
                <c:pt idx="2">
                  <c:v>79</c:v>
                </c:pt>
                <c:pt idx="3">
                  <c:v>11</c:v>
                </c:pt>
                <c:pt idx="4">
                  <c:v>4</c:v>
                </c:pt>
                <c:pt idx="5">
                  <c:v>7</c:v>
                </c:pt>
                <c:pt idx="6">
                  <c:v>2</c:v>
                </c:pt>
                <c:pt idx="7">
                  <c:v>2</c:v>
                </c:pt>
                <c:pt idx="8">
                  <c:v>1</c:v>
                </c:pt>
              </c:numCache>
            </c:numRef>
          </c:val>
          <c:smooth val="0"/>
          <c:extLst>
            <c:ext xmlns:c16="http://schemas.microsoft.com/office/drawing/2014/chart" uri="{C3380CC4-5D6E-409C-BE32-E72D297353CC}">
              <c16:uniqueId val="{00000010-B4E4-41A6-8C26-A5F27EE271F1}"/>
            </c:ext>
          </c:extLst>
        </c:ser>
        <c:dLbls>
          <c:dLblPos val="t"/>
          <c:showLegendKey val="0"/>
          <c:showVal val="1"/>
          <c:showCatName val="0"/>
          <c:showSerName val="0"/>
          <c:showPercent val="0"/>
          <c:showBubbleSize val="0"/>
        </c:dLbls>
        <c:marker val="1"/>
        <c:smooth val="0"/>
        <c:axId val="545155408"/>
        <c:axId val="545157328"/>
      </c:lineChart>
      <c:catAx>
        <c:axId val="545155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45157328"/>
        <c:crosses val="autoZero"/>
        <c:auto val="1"/>
        <c:lblAlgn val="ctr"/>
        <c:lblOffset val="100"/>
        <c:noMultiLvlLbl val="0"/>
      </c:catAx>
      <c:valAx>
        <c:axId val="545157328"/>
        <c:scaling>
          <c:orientation val="minMax"/>
        </c:scaling>
        <c:delete val="1"/>
        <c:axPos val="l"/>
        <c:numFmt formatCode="General" sourceLinked="1"/>
        <c:majorTickMark val="out"/>
        <c:minorTickMark val="none"/>
        <c:tickLblPos val="nextTo"/>
        <c:crossAx val="545155408"/>
        <c:crosses val="autoZero"/>
        <c:crossBetween val="between"/>
      </c:valAx>
      <c:spPr>
        <a:solidFill>
          <a:srgbClr val="F8F9CF"/>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Table!PivotTable7</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solidFill>
                  <a:schemeClr val="tx1"/>
                </a:solidFill>
              </a:rPr>
              <a:t>Year</a:t>
            </a:r>
            <a:r>
              <a:rPr lang="en-US" sz="1400" b="1" baseline="0">
                <a:solidFill>
                  <a:schemeClr val="tx1"/>
                </a:solidFill>
              </a:rPr>
              <a:t>ly Revenue Trend</a:t>
            </a:r>
            <a:endParaRPr lang="en-US" sz="1400" b="1">
              <a:solidFill>
                <a:schemeClr val="tx1"/>
              </a:solidFill>
            </a:endParaRPr>
          </a:p>
        </c:rich>
      </c:tx>
      <c:layout>
        <c:manualLayout>
          <c:xMode val="edge"/>
          <c:yMode val="edge"/>
          <c:x val="0.2349011588275392"/>
          <c:y val="3.97350993377483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546586584652379E-2"/>
              <c:y val="-2.0235233496190717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6185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1.324503311258282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33214176448803E-4"/>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7191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8.0940933984762867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1191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1191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8.0940933984762867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7191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33214176448803E-4"/>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1.324503311258282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6185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546586584652379E-2"/>
              <c:y val="-2.0235233496190717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1191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399744510463797E-3"/>
              <c:y val="-8.0940933984762867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7191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33214176448803E-4"/>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133316157566194E-3"/>
              <c:y val="-4.415011037527593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5399846491582189E-3"/>
              <c:y val="-1.32450331125828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6637682559618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546586584652379E-2"/>
              <c:y val="-2.0235233496190717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112073467281"/>
          <c:y val="0.1701103752759382"/>
          <c:w val="0.77215400222211483"/>
          <c:h val="0.77690949227373074"/>
        </c:manualLayout>
      </c:layout>
      <c:barChart>
        <c:barDir val="bar"/>
        <c:grouping val="clustered"/>
        <c:varyColors val="0"/>
        <c:ser>
          <c:idx val="0"/>
          <c:order val="0"/>
          <c:tx>
            <c:strRef>
              <c:f>'Pivot Table'!$M$7</c:f>
              <c:strCache>
                <c:ptCount val="1"/>
                <c:pt idx="0">
                  <c:v>Total</c:v>
                </c:pt>
              </c:strCache>
            </c:strRef>
          </c:tx>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AF9-4568-9942-8C4ADCCE5C9A}"/>
              </c:ext>
            </c:extLst>
          </c:dPt>
          <c:dPt>
            <c:idx val="1"/>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AF9-4568-9942-8C4ADCCE5C9A}"/>
              </c:ext>
            </c:extLst>
          </c:dPt>
          <c:dPt>
            <c:idx val="2"/>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AF9-4568-9942-8C4ADCCE5C9A}"/>
              </c:ext>
            </c:extLst>
          </c:dPt>
          <c:dPt>
            <c:idx val="3"/>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AF9-4568-9942-8C4ADCCE5C9A}"/>
              </c:ext>
            </c:extLst>
          </c:dPt>
          <c:dPt>
            <c:idx val="4"/>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AF9-4568-9942-8C4ADCCE5C9A}"/>
              </c:ext>
            </c:extLst>
          </c:dPt>
          <c:dPt>
            <c:idx val="5"/>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AF9-4568-9942-8C4ADCCE5C9A}"/>
              </c:ext>
            </c:extLst>
          </c:dPt>
          <c:dPt>
            <c:idx val="6"/>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AF9-4568-9942-8C4ADCCE5C9A}"/>
              </c:ext>
            </c:extLst>
          </c:dPt>
          <c:dPt>
            <c:idx val="7"/>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BAF9-4568-9942-8C4ADCCE5C9A}"/>
              </c:ext>
            </c:extLst>
          </c:dPt>
          <c:dPt>
            <c:idx val="8"/>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BAF9-4568-9942-8C4ADCCE5C9A}"/>
              </c:ext>
            </c:extLst>
          </c:dPt>
          <c:dPt>
            <c:idx val="9"/>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BAF9-4568-9942-8C4ADCCE5C9A}"/>
              </c:ext>
            </c:extLst>
          </c:dPt>
          <c:dPt>
            <c:idx val="10"/>
            <c:invertIfNegative val="0"/>
            <c:bubble3D val="0"/>
            <c:spPr>
              <a:solidFill>
                <a:srgbClr val="712C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BAF9-4568-9942-8C4ADCCE5C9A}"/>
              </c:ext>
            </c:extLst>
          </c:dPt>
          <c:dLbls>
            <c:dLbl>
              <c:idx val="0"/>
              <c:layout>
                <c:manualLayout>
                  <c:x val="-4.539984649158119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F9-4568-9942-8C4ADCCE5C9A}"/>
                </c:ext>
              </c:extLst>
            </c:dLbl>
            <c:dLbl>
              <c:idx val="1"/>
              <c:layout>
                <c:manualLayout>
                  <c:x val="3.6399744510463797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F9-4568-9942-8C4ADCCE5C9A}"/>
                </c:ext>
              </c:extLst>
            </c:dLbl>
            <c:dLbl>
              <c:idx val="2"/>
              <c:layout>
                <c:manualLayout>
                  <c:x val="-4.539984649158218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F9-4568-9942-8C4ADCCE5C9A}"/>
                </c:ext>
              </c:extLst>
            </c:dLbl>
            <c:dLbl>
              <c:idx val="3"/>
              <c:layout>
                <c:manualLayout>
                  <c:x val="-1.8133316157566194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F9-4568-9942-8C4ADCCE5C9A}"/>
                </c:ext>
              </c:extLst>
            </c:dLbl>
            <c:dLbl>
              <c:idx val="4"/>
              <c:layout>
                <c:manualLayout>
                  <c:x val="3.6399744510463797E-3"/>
                  <c:y val="-8.094093398476286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F9-4568-9942-8C4ADCCE5C9A}"/>
                </c:ext>
              </c:extLst>
            </c:dLbl>
            <c:dLbl>
              <c:idx val="5"/>
              <c:layout>
                <c:manualLayout>
                  <c:x val="-7.2666376825597191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AF9-4568-9942-8C4ADCCE5C9A}"/>
                </c:ext>
              </c:extLst>
            </c:dLbl>
            <c:dLbl>
              <c:idx val="6"/>
              <c:layout>
                <c:manualLayout>
                  <c:x val="9.133214176448803E-4"/>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F9-4568-9942-8C4ADCCE5C9A}"/>
                </c:ext>
              </c:extLst>
            </c:dLbl>
            <c:dLbl>
              <c:idx val="7"/>
              <c:layout>
                <c:manualLayout>
                  <c:x val="-1.8133316157566194E-3"/>
                  <c:y val="-4.4150110375275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AF9-4568-9942-8C4ADCCE5C9A}"/>
                </c:ext>
              </c:extLst>
            </c:dLbl>
            <c:dLbl>
              <c:idx val="8"/>
              <c:layout>
                <c:manualLayout>
                  <c:x val="-4.5399846491582189E-3"/>
                  <c:y val="-1.32450331125828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AF9-4568-9942-8C4ADCCE5C9A}"/>
                </c:ext>
              </c:extLst>
            </c:dLbl>
            <c:dLbl>
              <c:idx val="9"/>
              <c:layout>
                <c:manualLayout>
                  <c:x val="-7.2666376825596185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AF9-4568-9942-8C4ADCCE5C9A}"/>
                </c:ext>
              </c:extLst>
            </c:dLbl>
            <c:dLbl>
              <c:idx val="10"/>
              <c:layout>
                <c:manualLayout>
                  <c:x val="1.4546586584652379E-2"/>
                  <c:y val="-2.023523349619071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AF9-4568-9942-8C4ADCCE5C9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Table'!$L$8:$L$18</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'Pivot Table'!$M$8:$M$18</c:f>
              <c:numCache>
                <c:formatCode>_("$"* #,##0.00_);_("$"* \(#,##0.00\);_("$"* "-"??_);_(@_)</c:formatCode>
                <c:ptCount val="11"/>
                <c:pt idx="0">
                  <c:v>770</c:v>
                </c:pt>
                <c:pt idx="1">
                  <c:v>674</c:v>
                </c:pt>
                <c:pt idx="2">
                  <c:v>755</c:v>
                </c:pt>
                <c:pt idx="3">
                  <c:v>765</c:v>
                </c:pt>
                <c:pt idx="4">
                  <c:v>730</c:v>
                </c:pt>
                <c:pt idx="5">
                  <c:v>732</c:v>
                </c:pt>
                <c:pt idx="6">
                  <c:v>521</c:v>
                </c:pt>
                <c:pt idx="7">
                  <c:v>659</c:v>
                </c:pt>
                <c:pt idx="8">
                  <c:v>569</c:v>
                </c:pt>
                <c:pt idx="9">
                  <c:v>526</c:v>
                </c:pt>
                <c:pt idx="10">
                  <c:v>504</c:v>
                </c:pt>
              </c:numCache>
            </c:numRef>
          </c:val>
          <c:extLst>
            <c:ext xmlns:c16="http://schemas.microsoft.com/office/drawing/2014/chart" uri="{C3380CC4-5D6E-409C-BE32-E72D297353CC}">
              <c16:uniqueId val="{00000016-BAF9-4568-9942-8C4ADCCE5C9A}"/>
            </c:ext>
          </c:extLst>
        </c:ser>
        <c:dLbls>
          <c:dLblPos val="inEnd"/>
          <c:showLegendKey val="0"/>
          <c:showVal val="1"/>
          <c:showCatName val="0"/>
          <c:showSerName val="0"/>
          <c:showPercent val="0"/>
          <c:showBubbleSize val="0"/>
        </c:dLbls>
        <c:gapWidth val="115"/>
        <c:overlap val="-20"/>
        <c:axId val="672368544"/>
        <c:axId val="672360384"/>
      </c:barChart>
      <c:catAx>
        <c:axId val="6723685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72360384"/>
        <c:crosses val="autoZero"/>
        <c:auto val="1"/>
        <c:lblAlgn val="ctr"/>
        <c:lblOffset val="100"/>
        <c:noMultiLvlLbl val="0"/>
      </c:catAx>
      <c:valAx>
        <c:axId val="672360384"/>
        <c:scaling>
          <c:orientation val="minMax"/>
        </c:scaling>
        <c:delete val="1"/>
        <c:axPos val="b"/>
        <c:numFmt formatCode="_(&quot;$&quot;* #,##0.00_);_(&quot;$&quot;* \(#,##0.00\);_(&quot;$&quot;* &quot;-&quot;??_);_(@_)" sourceLinked="1"/>
        <c:majorTickMark val="none"/>
        <c:minorTickMark val="none"/>
        <c:tickLblPos val="nextTo"/>
        <c:crossAx val="67236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Highest-Selling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712C0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12C0D"/>
          </a:solidFill>
          <a:ln w="19050">
            <a:solidFill>
              <a:schemeClr val="lt1"/>
            </a:solidFill>
          </a:ln>
          <a:effectLst/>
        </c:spPr>
        <c:dLbl>
          <c:idx val="0"/>
          <c:layout>
            <c:manualLayout>
              <c:x val="6.944444444444444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8F99B"/>
          </a:solidFill>
          <a:ln w="19050">
            <a:solidFill>
              <a:schemeClr val="lt1"/>
            </a:solidFill>
          </a:ln>
          <a:effectLst/>
        </c:spPr>
        <c:dLbl>
          <c:idx val="0"/>
          <c:layout>
            <c:manualLayout>
              <c:x val="-7.4999999999999997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12C0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12C0D"/>
          </a:solidFill>
          <a:ln w="19050">
            <a:solidFill>
              <a:schemeClr val="lt1"/>
            </a:solidFill>
          </a:ln>
          <a:effectLst/>
        </c:spPr>
        <c:dLbl>
          <c:idx val="0"/>
          <c:layout>
            <c:manualLayout>
              <c:x val="6.944444444444444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8F99B"/>
          </a:solidFill>
          <a:ln w="19050">
            <a:solidFill>
              <a:schemeClr val="lt1"/>
            </a:solidFill>
          </a:ln>
          <a:effectLst/>
        </c:spPr>
        <c:dLbl>
          <c:idx val="0"/>
          <c:layout>
            <c:manualLayout>
              <c:x val="-7.4999999999999997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12C0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12C0D"/>
          </a:solidFill>
          <a:ln w="19050">
            <a:solidFill>
              <a:schemeClr val="lt1"/>
            </a:solidFill>
          </a:ln>
          <a:effectLst/>
        </c:spPr>
        <c:dLbl>
          <c:idx val="0"/>
          <c:layout>
            <c:manualLayout>
              <c:x val="6.944444444444444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8F99B"/>
          </a:solidFill>
          <a:ln w="19050">
            <a:solidFill>
              <a:schemeClr val="lt1"/>
            </a:solidFill>
          </a:ln>
          <a:effectLst/>
        </c:spPr>
        <c:dLbl>
          <c:idx val="0"/>
          <c:layout>
            <c:manualLayout>
              <c:x val="-7.4999999999999997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Table'!$I$11</c:f>
              <c:strCache>
                <c:ptCount val="1"/>
                <c:pt idx="0">
                  <c:v>Total</c:v>
                </c:pt>
              </c:strCache>
            </c:strRef>
          </c:tx>
          <c:spPr>
            <a:solidFill>
              <a:srgbClr val="712C0D"/>
            </a:solidFill>
          </c:spPr>
          <c:dPt>
            <c:idx val="0"/>
            <c:bubble3D val="0"/>
            <c:spPr>
              <a:solidFill>
                <a:srgbClr val="712C0D"/>
              </a:solidFill>
              <a:ln w="19050">
                <a:solidFill>
                  <a:schemeClr val="lt1"/>
                </a:solidFill>
              </a:ln>
              <a:effectLst/>
            </c:spPr>
            <c:extLst>
              <c:ext xmlns:c16="http://schemas.microsoft.com/office/drawing/2014/chart" uri="{C3380CC4-5D6E-409C-BE32-E72D297353CC}">
                <c16:uniqueId val="{00000001-5B0D-40B3-9F39-0208BFDBFFFD}"/>
              </c:ext>
            </c:extLst>
          </c:dPt>
          <c:dPt>
            <c:idx val="1"/>
            <c:bubble3D val="0"/>
            <c:spPr>
              <a:solidFill>
                <a:srgbClr val="F8F99B"/>
              </a:solidFill>
              <a:ln w="19050">
                <a:solidFill>
                  <a:schemeClr val="lt1"/>
                </a:solidFill>
              </a:ln>
              <a:effectLst/>
            </c:spPr>
            <c:extLst>
              <c:ext xmlns:c16="http://schemas.microsoft.com/office/drawing/2014/chart" uri="{C3380CC4-5D6E-409C-BE32-E72D297353CC}">
                <c16:uniqueId val="{00000003-5B0D-40B3-9F39-0208BFDBFFFD}"/>
              </c:ext>
            </c:extLst>
          </c:dPt>
          <c:dLbls>
            <c:dLbl>
              <c:idx val="0"/>
              <c:layout>
                <c:manualLayout>
                  <c:x val="6.9444444444444448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0D-40B3-9F39-0208BFDBFFFD}"/>
                </c:ext>
              </c:extLst>
            </c:dLbl>
            <c:dLbl>
              <c:idx val="1"/>
              <c:layout>
                <c:manualLayout>
                  <c:x val="-7.4999999999999997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0D-40B3-9F39-0208BFDBFFF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Table'!$H$12:$H$13</c:f>
              <c:strCache>
                <c:ptCount val="2"/>
                <c:pt idx="0">
                  <c:v>Fiction</c:v>
                </c:pt>
                <c:pt idx="1">
                  <c:v>Non Fiction</c:v>
                </c:pt>
              </c:strCache>
            </c:strRef>
          </c:cat>
          <c:val>
            <c:numRef>
              <c:f>'Pivot Table'!$I$12:$I$13</c:f>
              <c:numCache>
                <c:formatCode>General</c:formatCode>
                <c:ptCount val="2"/>
                <c:pt idx="0">
                  <c:v>240</c:v>
                </c:pt>
                <c:pt idx="1">
                  <c:v>310</c:v>
                </c:pt>
              </c:numCache>
            </c:numRef>
          </c:val>
          <c:extLst>
            <c:ext xmlns:c16="http://schemas.microsoft.com/office/drawing/2014/chart" uri="{C3380CC4-5D6E-409C-BE32-E72D297353CC}">
              <c16:uniqueId val="{00000004-5B0D-40B3-9F39-0208BFDBFFF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F9C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hyperlink" Target="#'Pivot Table'!A1"/><Relationship Id="rId6"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180975</xdr:rowOff>
    </xdr:from>
    <xdr:to>
      <xdr:col>8</xdr:col>
      <xdr:colOff>238125</xdr:colOff>
      <xdr:row>17</xdr:row>
      <xdr:rowOff>28575</xdr:rowOff>
    </xdr:to>
    <xdr:graphicFrame macro="">
      <xdr:nvGraphicFramePr>
        <xdr:cNvPr id="2" name="Chart 1">
          <a:extLst>
            <a:ext uri="{FF2B5EF4-FFF2-40B4-BE49-F238E27FC236}">
              <a16:creationId xmlns:a16="http://schemas.microsoft.com/office/drawing/2014/main" id="{6CAE6D59-9563-40CB-975F-DECB0CF2E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514350</xdr:colOff>
      <xdr:row>1</xdr:row>
      <xdr:rowOff>133350</xdr:rowOff>
    </xdr:from>
    <xdr:to>
      <xdr:col>16</xdr:col>
      <xdr:colOff>209550</xdr:colOff>
      <xdr:row>16</xdr:row>
      <xdr:rowOff>19050</xdr:rowOff>
    </xdr:to>
    <xdr:graphicFrame macro="">
      <xdr:nvGraphicFramePr>
        <xdr:cNvPr id="3" name="Chart 2">
          <a:extLst>
            <a:ext uri="{FF2B5EF4-FFF2-40B4-BE49-F238E27FC236}">
              <a16:creationId xmlns:a16="http://schemas.microsoft.com/office/drawing/2014/main" id="{B3F5598B-CD63-4EA0-AB4D-50F954632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390524</xdr:colOff>
      <xdr:row>18</xdr:row>
      <xdr:rowOff>171450</xdr:rowOff>
    </xdr:from>
    <xdr:to>
      <xdr:col>16</xdr:col>
      <xdr:colOff>276225</xdr:colOff>
      <xdr:row>34</xdr:row>
      <xdr:rowOff>0</xdr:rowOff>
    </xdr:to>
    <xdr:graphicFrame macro="">
      <xdr:nvGraphicFramePr>
        <xdr:cNvPr id="4" name="Chart 3">
          <a:extLst>
            <a:ext uri="{FF2B5EF4-FFF2-40B4-BE49-F238E27FC236}">
              <a16:creationId xmlns:a16="http://schemas.microsoft.com/office/drawing/2014/main" id="{1FA05B1A-B7BA-404A-9C21-C80BB79E1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133350</xdr:rowOff>
    </xdr:from>
    <xdr:to>
      <xdr:col>7</xdr:col>
      <xdr:colOff>304800</xdr:colOff>
      <xdr:row>33</xdr:row>
      <xdr:rowOff>19050</xdr:rowOff>
    </xdr:to>
    <xdr:graphicFrame macro="">
      <xdr:nvGraphicFramePr>
        <xdr:cNvPr id="5" name="Chart 4">
          <a:extLst>
            <a:ext uri="{FF2B5EF4-FFF2-40B4-BE49-F238E27FC236}">
              <a16:creationId xmlns:a16="http://schemas.microsoft.com/office/drawing/2014/main" id="{DB0D91E8-A5AC-485E-9582-4BC6A2A9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418682</xdr:colOff>
      <xdr:row>39</xdr:row>
      <xdr:rowOff>95250</xdr:rowOff>
    </xdr:to>
    <xdr:sp macro="" textlink="">
      <xdr:nvSpPr>
        <xdr:cNvPr id="3" name="Rectangle 2">
          <a:extLst>
            <a:ext uri="{FF2B5EF4-FFF2-40B4-BE49-F238E27FC236}">
              <a16:creationId xmlns:a16="http://schemas.microsoft.com/office/drawing/2014/main" id="{B1FF9041-9994-C72D-38F1-C352C1FC5F00}"/>
            </a:ext>
          </a:extLst>
        </xdr:cNvPr>
        <xdr:cNvSpPr/>
      </xdr:nvSpPr>
      <xdr:spPr>
        <a:xfrm>
          <a:off x="0" y="0"/>
          <a:ext cx="11346264" cy="7443107"/>
        </a:xfrm>
        <a:prstGeom prst="rect">
          <a:avLst/>
        </a:prstGeom>
        <a:solidFill>
          <a:srgbClr val="712C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609599</xdr:colOff>
      <xdr:row>0</xdr:row>
      <xdr:rowOff>1</xdr:rowOff>
    </xdr:from>
    <xdr:to>
      <xdr:col>18</xdr:col>
      <xdr:colOff>280147</xdr:colOff>
      <xdr:row>2</xdr:row>
      <xdr:rowOff>19050</xdr:rowOff>
    </xdr:to>
    <xdr:sp macro="" textlink="">
      <xdr:nvSpPr>
        <xdr:cNvPr id="4" name="Rectangle: Rounded Corners 3">
          <a:extLst>
            <a:ext uri="{FF2B5EF4-FFF2-40B4-BE49-F238E27FC236}">
              <a16:creationId xmlns:a16="http://schemas.microsoft.com/office/drawing/2014/main" id="{127AD7DE-C82F-D082-2F8A-AFEAAC245880}"/>
            </a:ext>
          </a:extLst>
        </xdr:cNvPr>
        <xdr:cNvSpPr/>
      </xdr:nvSpPr>
      <xdr:spPr>
        <a:xfrm>
          <a:off x="1842246" y="1"/>
          <a:ext cx="9531725" cy="411255"/>
        </a:xfrm>
        <a:prstGeom prst="roundRect">
          <a:avLst/>
        </a:prstGeom>
        <a:solidFill>
          <a:srgbClr val="F8F9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tx1"/>
              </a:solidFill>
              <a:effectLst/>
              <a:latin typeface="Times New Roman" panose="02020603050405020304" pitchFamily="18" charset="0"/>
              <a:ea typeface="+mn-ea"/>
              <a:cs typeface="Times New Roman" panose="02020603050405020304" pitchFamily="18" charset="0"/>
            </a:rPr>
            <a:t> 	Amazon Top 50 Bestselling Books 2009 – 2019</a:t>
          </a:r>
        </a:p>
        <a:p>
          <a:pPr algn="l"/>
          <a:endParaRPr lang="en-US" sz="1100">
            <a:solidFill>
              <a:schemeClr val="tx1"/>
            </a:solidFill>
          </a:endParaRPr>
        </a:p>
      </xdr:txBody>
    </xdr:sp>
    <xdr:clientData/>
  </xdr:twoCellAnchor>
  <xdr:twoCellAnchor>
    <xdr:from>
      <xdr:col>0</xdr:col>
      <xdr:colOff>142874</xdr:colOff>
      <xdr:row>2</xdr:row>
      <xdr:rowOff>180975</xdr:rowOff>
    </xdr:from>
    <xdr:to>
      <xdr:col>3</xdr:col>
      <xdr:colOff>276225</xdr:colOff>
      <xdr:row>6</xdr:row>
      <xdr:rowOff>180975</xdr:rowOff>
    </xdr:to>
    <xdr:sp macro="" textlink="">
      <xdr:nvSpPr>
        <xdr:cNvPr id="6" name="Rectangle: Rounded Corners 5">
          <a:extLst>
            <a:ext uri="{FF2B5EF4-FFF2-40B4-BE49-F238E27FC236}">
              <a16:creationId xmlns:a16="http://schemas.microsoft.com/office/drawing/2014/main" id="{625DD55F-6E31-C0C4-E4F1-941DF6372B1C}"/>
            </a:ext>
          </a:extLst>
        </xdr:cNvPr>
        <xdr:cNvSpPr/>
      </xdr:nvSpPr>
      <xdr:spPr>
        <a:xfrm>
          <a:off x="142874" y="561975"/>
          <a:ext cx="1962151" cy="762000"/>
        </a:xfrm>
        <a:prstGeom prst="roundRect">
          <a:avLst/>
        </a:prstGeom>
        <a:solidFill>
          <a:srgbClr val="F8F9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Times New Roman" panose="02020603050405020304" pitchFamily="18" charset="0"/>
              <a:cs typeface="Times New Roman" panose="02020603050405020304" pitchFamily="18" charset="0"/>
            </a:rPr>
            <a:t>Analysis</a:t>
          </a:r>
          <a:r>
            <a:rPr lang="en-US" sz="1100" baseline="0">
              <a:solidFill>
                <a:schemeClr val="tx1"/>
              </a:solidFill>
              <a:latin typeface="Times New Roman" panose="02020603050405020304" pitchFamily="18" charset="0"/>
              <a:cs typeface="Times New Roman" panose="02020603050405020304" pitchFamily="18" charset="0"/>
            </a:rPr>
            <a:t>  Done by </a:t>
          </a:r>
        </a:p>
        <a:p>
          <a:pPr algn="l"/>
          <a:r>
            <a:rPr lang="en-US" sz="1100" baseline="0">
              <a:solidFill>
                <a:schemeClr val="tx1"/>
              </a:solidFill>
              <a:latin typeface="Times New Roman" panose="02020603050405020304" pitchFamily="18" charset="0"/>
              <a:cs typeface="Times New Roman" panose="02020603050405020304" pitchFamily="18" charset="0"/>
            </a:rPr>
            <a:t>Rahman Azeezat Taiwo</a:t>
          </a:r>
        </a:p>
        <a:p>
          <a:pPr algn="l"/>
          <a:r>
            <a:rPr lang="en-US" sz="1100" baseline="0">
              <a:solidFill>
                <a:schemeClr val="tx1"/>
              </a:solidFill>
              <a:latin typeface="Times New Roman" panose="02020603050405020304" pitchFamily="18" charset="0"/>
              <a:cs typeface="Times New Roman" panose="02020603050405020304" pitchFamily="18" charset="0"/>
            </a:rPr>
            <a:t>rahmanazeezat16@gmail.com</a:t>
          </a:r>
          <a:endParaRPr lang="en-US" sz="11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457201</xdr:colOff>
      <xdr:row>3</xdr:row>
      <xdr:rowOff>0</xdr:rowOff>
    </xdr:from>
    <xdr:to>
      <xdr:col>6</xdr:col>
      <xdr:colOff>342901</xdr:colOff>
      <xdr:row>7</xdr:row>
      <xdr:rowOff>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2458B758-D0AB-BBC9-7D3B-C9CF3435611F}"/>
            </a:ext>
          </a:extLst>
        </xdr:cNvPr>
        <xdr:cNvSpPr/>
      </xdr:nvSpPr>
      <xdr:spPr>
        <a:xfrm>
          <a:off x="2286001" y="571500"/>
          <a:ext cx="1714500" cy="762000"/>
        </a:xfrm>
        <a:prstGeom prst="roundRect">
          <a:avLst/>
        </a:prstGeom>
        <a:solidFill>
          <a:srgbClr val="F8F9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latin typeface="Times New Roman" panose="02020603050405020304" pitchFamily="18" charset="0"/>
            <a:cs typeface="Times New Roman" panose="02020603050405020304" pitchFamily="18" charset="0"/>
          </a:endParaRPr>
        </a:p>
        <a:p>
          <a:pPr algn="l"/>
          <a:r>
            <a:rPr lang="en-US" sz="1100">
              <a:solidFill>
                <a:schemeClr val="tx1"/>
              </a:solidFill>
              <a:latin typeface="Times New Roman" panose="02020603050405020304" pitchFamily="18" charset="0"/>
              <a:cs typeface="Times New Roman" panose="02020603050405020304" pitchFamily="18" charset="0"/>
            </a:rPr>
            <a:t>Total Revenue</a:t>
          </a:r>
        </a:p>
        <a:p>
          <a:pPr algn="l"/>
          <a:r>
            <a:rPr lang="en-US" sz="1100" b="1" i="0" u="none" strike="noStrike">
              <a:solidFill>
                <a:schemeClr val="lt1"/>
              </a:solidFill>
              <a:effectLst/>
              <a:latin typeface="+mn-lt"/>
              <a:ea typeface="+mn-ea"/>
              <a:cs typeface="+mn-cs"/>
            </a:rPr>
            <a:t> </a:t>
          </a:r>
          <a:r>
            <a:rPr lang="en-US" sz="1100" b="1" i="0" u="none" strike="noStrike">
              <a:solidFill>
                <a:schemeClr val="tx1"/>
              </a:solidFill>
              <a:effectLst/>
              <a:latin typeface="Times New Roman" panose="02020603050405020304" pitchFamily="18" charset="0"/>
              <a:ea typeface="+mn-ea"/>
              <a:cs typeface="Times New Roman" panose="02020603050405020304" pitchFamily="18" charset="0"/>
            </a:rPr>
            <a:t>$ 7,205.00 </a:t>
          </a:r>
          <a:endParaRPr lang="en-US" sz="11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561976</xdr:colOff>
      <xdr:row>3</xdr:row>
      <xdr:rowOff>28575</xdr:rowOff>
    </xdr:from>
    <xdr:to>
      <xdr:col>9</xdr:col>
      <xdr:colOff>447676</xdr:colOff>
      <xdr:row>7</xdr:row>
      <xdr:rowOff>28575</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F528CEAA-B68F-3133-EDB8-7E511F5E66CB}"/>
            </a:ext>
          </a:extLst>
        </xdr:cNvPr>
        <xdr:cNvSpPr/>
      </xdr:nvSpPr>
      <xdr:spPr>
        <a:xfrm>
          <a:off x="4219576" y="600075"/>
          <a:ext cx="1714500" cy="762000"/>
        </a:xfrm>
        <a:prstGeom prst="roundRect">
          <a:avLst/>
        </a:prstGeom>
        <a:solidFill>
          <a:srgbClr val="F8F9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latin typeface="Times New Roman" panose="02020603050405020304" pitchFamily="18" charset="0"/>
            <a:cs typeface="Times New Roman" panose="02020603050405020304" pitchFamily="18" charset="0"/>
          </a:endParaRPr>
        </a:p>
        <a:p>
          <a:pPr algn="l"/>
          <a:r>
            <a:rPr lang="en-US" sz="1100">
              <a:solidFill>
                <a:schemeClr val="tx1"/>
              </a:solidFill>
              <a:latin typeface="Times New Roman" panose="02020603050405020304" pitchFamily="18" charset="0"/>
              <a:cs typeface="Times New Roman" panose="02020603050405020304" pitchFamily="18" charset="0"/>
            </a:rPr>
            <a:t>Count of Genre </a:t>
          </a:r>
        </a:p>
        <a:p>
          <a:pPr algn="l"/>
          <a:r>
            <a:rPr lang="en-US" sz="1100" b="1" i="0" u="none" strike="noStrike">
              <a:solidFill>
                <a:schemeClr val="tx1"/>
              </a:solidFill>
              <a:effectLst/>
              <a:latin typeface="Times New Roman" panose="02020603050405020304" pitchFamily="18" charset="0"/>
              <a:ea typeface="+mn-ea"/>
              <a:cs typeface="Times New Roman" panose="02020603050405020304" pitchFamily="18" charset="0"/>
            </a:rPr>
            <a:t>     550</a:t>
          </a:r>
          <a:r>
            <a:rPr lang="en-US">
              <a:solidFill>
                <a:schemeClr val="tx1"/>
              </a:solidFill>
              <a:latin typeface="Times New Roman" panose="02020603050405020304" pitchFamily="18" charset="0"/>
              <a:cs typeface="Times New Roman" panose="02020603050405020304" pitchFamily="18" charset="0"/>
            </a:rPr>
            <a:t> </a:t>
          </a:r>
          <a:endParaRPr lang="en-US" sz="11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19051</xdr:colOff>
      <xdr:row>3</xdr:row>
      <xdr:rowOff>19050</xdr:rowOff>
    </xdr:from>
    <xdr:to>
      <xdr:col>12</xdr:col>
      <xdr:colOff>514351</xdr:colOff>
      <xdr:row>7</xdr:row>
      <xdr:rowOff>19050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9156B74-71D4-237F-9FD7-0C96A6001687}"/>
            </a:ext>
          </a:extLst>
        </xdr:cNvPr>
        <xdr:cNvSpPr/>
      </xdr:nvSpPr>
      <xdr:spPr>
        <a:xfrm>
          <a:off x="6115051" y="590550"/>
          <a:ext cx="1714500" cy="762000"/>
        </a:xfrm>
        <a:prstGeom prst="roundRect">
          <a:avLst/>
        </a:prstGeom>
        <a:solidFill>
          <a:srgbClr val="F8F9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latin typeface="Times New Roman" panose="02020603050405020304" pitchFamily="18" charset="0"/>
            <a:cs typeface="Times New Roman" panose="02020603050405020304" pitchFamily="18" charset="0"/>
          </a:endParaRPr>
        </a:p>
        <a:p>
          <a:pPr algn="l"/>
          <a:r>
            <a:rPr lang="en-US" sz="1100">
              <a:solidFill>
                <a:schemeClr val="tx1"/>
              </a:solidFill>
              <a:latin typeface="Times New Roman" panose="02020603050405020304" pitchFamily="18" charset="0"/>
              <a:cs typeface="Times New Roman" panose="02020603050405020304" pitchFamily="18" charset="0"/>
            </a:rPr>
            <a:t>Average</a:t>
          </a:r>
          <a:r>
            <a:rPr lang="en-US" sz="1100" baseline="0">
              <a:solidFill>
                <a:schemeClr val="tx1"/>
              </a:solidFill>
              <a:latin typeface="Times New Roman" panose="02020603050405020304" pitchFamily="18" charset="0"/>
              <a:cs typeface="Times New Roman" panose="02020603050405020304" pitchFamily="18" charset="0"/>
            </a:rPr>
            <a:t> of user rating</a:t>
          </a:r>
        </a:p>
        <a:p>
          <a:pPr algn="l"/>
          <a:r>
            <a:rPr lang="en-US" sz="1100" b="1" i="0" u="none" strike="noStrike">
              <a:solidFill>
                <a:schemeClr val="tx1"/>
              </a:solidFill>
              <a:effectLst/>
              <a:latin typeface="Times New Roman" panose="02020603050405020304" pitchFamily="18" charset="0"/>
              <a:ea typeface="+mn-ea"/>
              <a:cs typeface="Times New Roman" panose="02020603050405020304" pitchFamily="18" charset="0"/>
            </a:rPr>
            <a:t>   4.6</a:t>
          </a:r>
          <a:r>
            <a:rPr lang="en-US">
              <a:solidFill>
                <a:schemeClr val="tx1"/>
              </a:solidFill>
              <a:latin typeface="Times New Roman" panose="02020603050405020304" pitchFamily="18" charset="0"/>
              <a:cs typeface="Times New Roman" panose="02020603050405020304" pitchFamily="18" charset="0"/>
            </a:rPr>
            <a:t> </a:t>
          </a:r>
          <a:endParaRPr lang="en-US" sz="11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47626</xdr:colOff>
      <xdr:row>3</xdr:row>
      <xdr:rowOff>9525</xdr:rowOff>
    </xdr:from>
    <xdr:to>
      <xdr:col>15</xdr:col>
      <xdr:colOff>542926</xdr:colOff>
      <xdr:row>7</xdr:row>
      <xdr:rowOff>9525</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A39D971B-6926-E476-60B2-08544ABAE387}"/>
            </a:ext>
          </a:extLst>
        </xdr:cNvPr>
        <xdr:cNvSpPr/>
      </xdr:nvSpPr>
      <xdr:spPr>
        <a:xfrm>
          <a:off x="7972426" y="581025"/>
          <a:ext cx="1714500" cy="762000"/>
        </a:xfrm>
        <a:prstGeom prst="roundRect">
          <a:avLst/>
        </a:prstGeom>
        <a:solidFill>
          <a:srgbClr val="F8F9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latin typeface="Times New Roman" panose="02020603050405020304" pitchFamily="18" charset="0"/>
              <a:cs typeface="Times New Roman" panose="02020603050405020304" pitchFamily="18" charset="0"/>
            </a:rPr>
            <a:t>Correlation between price and user rating</a:t>
          </a:r>
        </a:p>
        <a:p>
          <a:pPr algn="l"/>
          <a:r>
            <a:rPr lang="en-US" sz="1100" b="1" i="0" u="none" strike="noStrike">
              <a:solidFill>
                <a:schemeClr val="tx1"/>
              </a:solidFill>
              <a:effectLst/>
              <a:latin typeface="Times New Roman" panose="02020603050405020304" pitchFamily="18" charset="0"/>
              <a:ea typeface="+mn-ea"/>
              <a:cs typeface="Times New Roman" panose="02020603050405020304" pitchFamily="18" charset="0"/>
            </a:rPr>
            <a:t>  -0.1</a:t>
          </a:r>
          <a:r>
            <a:rPr lang="en-US">
              <a:solidFill>
                <a:schemeClr val="tx1"/>
              </a:solidFill>
              <a:latin typeface="Times New Roman" panose="02020603050405020304" pitchFamily="18" charset="0"/>
              <a:cs typeface="Times New Roman" panose="02020603050405020304" pitchFamily="18" charset="0"/>
            </a:rPr>
            <a:t>  </a:t>
          </a:r>
          <a:endParaRPr lang="en-US" sz="11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9525</xdr:colOff>
      <xdr:row>7</xdr:row>
      <xdr:rowOff>133349</xdr:rowOff>
    </xdr:from>
    <xdr:to>
      <xdr:col>7</xdr:col>
      <xdr:colOff>190500</xdr:colOff>
      <xdr:row>23</xdr:row>
      <xdr:rowOff>47624</xdr:rowOff>
    </xdr:to>
    <xdr:graphicFrame macro="">
      <xdr:nvGraphicFramePr>
        <xdr:cNvPr id="11" name="Chart 10">
          <a:extLst>
            <a:ext uri="{FF2B5EF4-FFF2-40B4-BE49-F238E27FC236}">
              <a16:creationId xmlns:a16="http://schemas.microsoft.com/office/drawing/2014/main" id="{53AFB4A3-4DF3-489E-A9F0-659228A31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352425</xdr:colOff>
      <xdr:row>7</xdr:row>
      <xdr:rowOff>133350</xdr:rowOff>
    </xdr:from>
    <xdr:to>
      <xdr:col>15</xdr:col>
      <xdr:colOff>47625</xdr:colOff>
      <xdr:row>23</xdr:row>
      <xdr:rowOff>47625</xdr:rowOff>
    </xdr:to>
    <xdr:graphicFrame macro="">
      <xdr:nvGraphicFramePr>
        <xdr:cNvPr id="12" name="Chart 11">
          <a:extLst>
            <a:ext uri="{FF2B5EF4-FFF2-40B4-BE49-F238E27FC236}">
              <a16:creationId xmlns:a16="http://schemas.microsoft.com/office/drawing/2014/main" id="{572156D3-E403-4B1B-8F49-6BC55C64E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85165</xdr:rowOff>
    </xdr:from>
    <xdr:to>
      <xdr:col>7</xdr:col>
      <xdr:colOff>495300</xdr:colOff>
      <xdr:row>39</xdr:row>
      <xdr:rowOff>73269</xdr:rowOff>
    </xdr:to>
    <xdr:graphicFrame macro="">
      <xdr:nvGraphicFramePr>
        <xdr:cNvPr id="2" name="Chart 1">
          <a:extLst>
            <a:ext uri="{FF2B5EF4-FFF2-40B4-BE49-F238E27FC236}">
              <a16:creationId xmlns:a16="http://schemas.microsoft.com/office/drawing/2014/main" id="{28F4D899-E3A7-4624-8AD9-92DF0C5FB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405598</xdr:colOff>
      <xdr:row>7</xdr:row>
      <xdr:rowOff>28016</xdr:rowOff>
    </xdr:from>
    <xdr:to>
      <xdr:col>18</xdr:col>
      <xdr:colOff>385427</xdr:colOff>
      <xdr:row>12</xdr:row>
      <xdr:rowOff>42023</xdr:rowOff>
    </xdr:to>
    <mc:AlternateContent xmlns:mc="http://schemas.openxmlformats.org/markup-compatibility/2006" xmlns:a14="http://schemas.microsoft.com/office/drawing/2010/main">
      <mc:Choice Requires="a14">
        <xdr:graphicFrame macro="">
          <xdr:nvGraphicFramePr>
            <xdr:cNvPr id="5" name="Genre 1">
              <a:extLst>
                <a:ext uri="{FF2B5EF4-FFF2-40B4-BE49-F238E27FC236}">
                  <a16:creationId xmlns:a16="http://schemas.microsoft.com/office/drawing/2014/main" id="{AF07DE22-C1DA-46BE-BCB1-EB8B810F1323}"/>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9511917" y="1346862"/>
              <a:ext cx="1801092" cy="956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14008</xdr:colOff>
      <xdr:row>24</xdr:row>
      <xdr:rowOff>84045</xdr:rowOff>
    </xdr:from>
    <xdr:to>
      <xdr:col>15</xdr:col>
      <xdr:colOff>271743</xdr:colOff>
      <xdr:row>39</xdr:row>
      <xdr:rowOff>73270</xdr:rowOff>
    </xdr:to>
    <xdr:graphicFrame macro="">
      <xdr:nvGraphicFramePr>
        <xdr:cNvPr id="13" name="Chart 12">
          <a:extLst>
            <a:ext uri="{FF2B5EF4-FFF2-40B4-BE49-F238E27FC236}">
              <a16:creationId xmlns:a16="http://schemas.microsoft.com/office/drawing/2014/main" id="{9105E818-E306-4F55-8AE6-E241759F2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376811</xdr:colOff>
      <xdr:row>12</xdr:row>
      <xdr:rowOff>94206</xdr:rowOff>
    </xdr:from>
    <xdr:to>
      <xdr:col>18</xdr:col>
      <xdr:colOff>384348</xdr:colOff>
      <xdr:row>19</xdr:row>
      <xdr:rowOff>136074</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22FBFD63-FCE8-4F32-B81C-00FE48D704F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83130" y="2355085"/>
              <a:ext cx="1828800" cy="1360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314009</xdr:colOff>
      <xdr:row>3</xdr:row>
      <xdr:rowOff>125604</xdr:rowOff>
    </xdr:from>
    <xdr:to>
      <xdr:col>6</xdr:col>
      <xdr:colOff>240321</xdr:colOff>
      <xdr:row>6</xdr:row>
      <xdr:rowOff>93783</xdr:rowOff>
    </xdr:to>
    <xdr:pic>
      <xdr:nvPicPr>
        <xdr:cNvPr id="16" name="Picture 15">
          <a:extLst>
            <a:ext uri="{FF2B5EF4-FFF2-40B4-BE49-F238E27FC236}">
              <a16:creationId xmlns:a16="http://schemas.microsoft.com/office/drawing/2014/main" id="{3046BED9-60A0-88F5-2B22-617522A63F46}"/>
            </a:ext>
          </a:extLst>
        </xdr:cNvPr>
        <xdr:cNvPicPr>
          <a:picLocks noChangeAspect="1"/>
        </xdr:cNvPicPr>
      </xdr:nvPicPr>
      <xdr:blipFill>
        <a:blip xmlns:r="http://schemas.openxmlformats.org/officeDocument/2006/relationships" r:embed="rId6" cstate="print">
          <a:duotone>
            <a:prstClr val="black"/>
            <a:schemeClr val="tx1">
              <a:tint val="45000"/>
              <a:satMod val="400000"/>
            </a:schemeClr>
          </a:duotone>
          <a:extLst>
            <a:ext uri="{28A0092B-C50C-407E-A947-70E740481C1C}">
              <a14:useLocalDpi xmlns:a14="http://schemas.microsoft.com/office/drawing/2010/main" val="0"/>
            </a:ext>
          </a:extLst>
        </a:blip>
        <a:stretch>
          <a:fillRect/>
        </a:stretch>
      </xdr:blipFill>
      <xdr:spPr>
        <a:xfrm>
          <a:off x="3349449" y="690824"/>
          <a:ext cx="533399" cy="533399"/>
        </a:xfrm>
        <a:prstGeom prst="rect">
          <a:avLst/>
        </a:prstGeom>
      </xdr:spPr>
    </xdr:pic>
    <xdr:clientData/>
  </xdr:twoCellAnchor>
  <xdr:twoCellAnchor editAs="oneCell">
    <xdr:from>
      <xdr:col>15</xdr:col>
      <xdr:colOff>376814</xdr:colOff>
      <xdr:row>20</xdr:row>
      <xdr:rowOff>41867</xdr:rowOff>
    </xdr:from>
    <xdr:to>
      <xdr:col>18</xdr:col>
      <xdr:colOff>384351</xdr:colOff>
      <xdr:row>33</xdr:row>
      <xdr:rowOff>83735</xdr:rowOff>
    </xdr:to>
    <mc:AlternateContent xmlns:mc="http://schemas.openxmlformats.org/markup-compatibility/2006" xmlns:a14="http://schemas.microsoft.com/office/drawing/2010/main">
      <mc:Choice Requires="a14">
        <xdr:graphicFrame macro="">
          <xdr:nvGraphicFramePr>
            <xdr:cNvPr id="17" name="Author 1">
              <a:extLst>
                <a:ext uri="{FF2B5EF4-FFF2-40B4-BE49-F238E27FC236}">
                  <a16:creationId xmlns:a16="http://schemas.microsoft.com/office/drawing/2014/main" id="{3B9EEB00-02E6-40EF-82EE-3D4355C0DB86}"/>
                </a:ext>
              </a:extLst>
            </xdr:cNvPr>
            <xdr:cNvGraphicFramePr/>
          </xdr:nvGraphicFramePr>
          <xdr:xfrm>
            <a:off x="0" y="0"/>
            <a:ext cx="0" cy="0"/>
          </xdr:xfrm>
          <a:graphic>
            <a:graphicData uri="http://schemas.microsoft.com/office/drawing/2010/slicer">
              <sle:slicer xmlns:sle="http://schemas.microsoft.com/office/drawing/2010/slicer" name="Author 1"/>
            </a:graphicData>
          </a:graphic>
        </xdr:graphicFrame>
      </mc:Choice>
      <mc:Fallback xmlns="">
        <xdr:sp macro="" textlink="">
          <xdr:nvSpPr>
            <xdr:cNvPr id="0" name=""/>
            <xdr:cNvSpPr>
              <a:spLocks noTextEdit="1"/>
            </xdr:cNvSpPr>
          </xdr:nvSpPr>
          <xdr:spPr>
            <a:xfrm>
              <a:off x="9483133" y="3809999"/>
              <a:ext cx="1828800" cy="2491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376814</xdr:colOff>
      <xdr:row>33</xdr:row>
      <xdr:rowOff>104670</xdr:rowOff>
    </xdr:from>
    <xdr:to>
      <xdr:col>18</xdr:col>
      <xdr:colOff>384351</xdr:colOff>
      <xdr:row>39</xdr:row>
      <xdr:rowOff>62802</xdr:rowOff>
    </xdr:to>
    <mc:AlternateContent xmlns:mc="http://schemas.openxmlformats.org/markup-compatibility/2006" xmlns:a14="http://schemas.microsoft.com/office/drawing/2010/main">
      <mc:Choice Requires="a14">
        <xdr:graphicFrame macro="">
          <xdr:nvGraphicFramePr>
            <xdr:cNvPr id="18" name="Reviews 1">
              <a:extLst>
                <a:ext uri="{FF2B5EF4-FFF2-40B4-BE49-F238E27FC236}">
                  <a16:creationId xmlns:a16="http://schemas.microsoft.com/office/drawing/2014/main" id="{553D31F0-37A2-4307-ACF8-1A98044A2DA5}"/>
                </a:ext>
              </a:extLst>
            </xdr:cNvPr>
            <xdr:cNvGraphicFramePr/>
          </xdr:nvGraphicFramePr>
          <xdr:xfrm>
            <a:off x="0" y="0"/>
            <a:ext cx="0" cy="0"/>
          </xdr:xfrm>
          <a:graphic>
            <a:graphicData uri="http://schemas.microsoft.com/office/drawing/2010/slicer">
              <sle:slicer xmlns:sle="http://schemas.microsoft.com/office/drawing/2010/slicer" name="Reviews 1"/>
            </a:graphicData>
          </a:graphic>
        </xdr:graphicFrame>
      </mc:Choice>
      <mc:Fallback xmlns="">
        <xdr:sp macro="" textlink="">
          <xdr:nvSpPr>
            <xdr:cNvPr id="0" name=""/>
            <xdr:cNvSpPr>
              <a:spLocks noTextEdit="1"/>
            </xdr:cNvSpPr>
          </xdr:nvSpPr>
          <xdr:spPr>
            <a:xfrm>
              <a:off x="9483133" y="6322088"/>
              <a:ext cx="1828800" cy="1088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180.78593784722" createdVersion="8" refreshedVersion="8" minRefreshableVersion="3" recordCount="550" xr:uid="{44B1FD19-D6CA-4A06-9BED-E340B419AA1D}">
  <cacheSource type="worksheet">
    <worksheetSource name="AMAZONTABLE"/>
  </cacheSource>
  <cacheFields count="7">
    <cacheField name="Name" numFmtId="0">
      <sharedItems count="350">
        <s v="10-Day Green Smoothie Cleanse"/>
        <s v="11/22/63: A Novel"/>
        <s v="12 Rules for Life: An Antidote to Chaos"/>
        <s v="1984 (Signet Classics)"/>
        <s v="5,000 Awesome Facts (About Everything!) (National Geographic Kids)"/>
        <s v="A Dance with Dragons (A Song of Ice and Fire)"/>
        <s v="A Game of Thrones / A Clash of Kings / A Storm of Swords / A Feast of Crows / A Dance with Dragons"/>
        <s v="A Gentleman in Moscow: A Novel"/>
        <s v="A Higher Loyalty: Truth, Lies, and Leadership"/>
        <s v="A Man Called Ove: A Novel"/>
        <s v="A Patriot's History of the United States: From Columbus's Great Discovery to the War on Terror"/>
        <s v="A Stolen Life: A Memoir"/>
        <s v="A Wrinkle in Time (Time Quintet)"/>
        <s v="Act Like a Lady, Think Like a Man: What Men Really Think About Love, Relationships, Intimacy, and Commitment"/>
        <s v="Adult Coloring Book Designs: Stress Relief Coloring Book: Garden Designs, Mandalas, Animals, and Paisley Patterns"/>
        <s v="Adult Coloring Book: Stress Relieving Animal Designs"/>
        <s v="Adult Coloring Book: Stress Relieving Patterns"/>
        <s v="Adult Coloring Books: A Coloring Book for Adults Featuring Mandalas and Henna Inspired Flowers, Animals, and Paisley…"/>
        <s v="Alexander Hamilton"/>
        <s v="All the Light We Cannot See"/>
        <s v="Allegiant"/>
        <s v="American Sniper: The Autobiography of the Most Lethal Sniper in U.S. Military History"/>
        <s v="And the Mountains Echoed"/>
        <s v="Arguing with Idiots: How to Stop Small Minds and Big Government"/>
        <s v="Astrophysics for People in a Hurry"/>
        <s v="Autobiography of Mark Twain, Vol. 1"/>
        <s v="Baby Touch and Feel: Animals"/>
        <s v="Balance (Angie's Extreme Stress Menders)"/>
        <s v="Barefoot Contessa Foolproof: Recipes You Can Trust: A Cookbook"/>
        <s v="Barefoot Contessa, How Easy Is That?: Fabulous Recipes &amp; Easy Tips"/>
        <s v="Becoming"/>
        <s v="Being Mortal: Medicine and What Matters in the End"/>
        <s v="Between the World and Me"/>
        <s v="Born to Run"/>
        <s v="Breaking Dawn (The Twilight Saga, Book 4)"/>
        <s v="Broke: The Plan to Restore Our Trust, Truth and Treasure"/>
        <s v="Brown Bear, Brown Bear, What Do You See?"/>
        <s v="Cabin Fever (Diary of a Wimpy Kid, Book 6)"/>
        <s v="Calm the F*ck Down: An Irreverent Adult Coloring Book (Irreverent Book Series)"/>
        <s v="Can't Hurt Me: Master Your Mind and Defy the Odds"/>
        <s v="Capital in the Twenty First Century"/>
        <s v="Catching Fire (The Hunger Games)"/>
        <s v="Cravings: Recipes for All the Food You Want to Eat: A Cookbook"/>
        <s v="Crazy Love: Overwhelmed by a Relentless God"/>
        <s v="Crazy Rich Asians (Crazy Rich Asians Trilogy)"/>
        <s v="Creative Haven Creative Cats Coloring Book (Adult Coloring)"/>
        <s v="Creative Haven Owls Coloring Book (Adult Coloring)"/>
        <s v="Cutting for Stone"/>
        <s v="Daring Greatly: How the Courage to Be Vulnerable Transforms the Way We Live, Love, Parent, and Lead"/>
        <s v="David and Goliath: Underdogs, Misfits, and the Art of Battling Giants"/>
        <s v="Dead And Gone: A Sookie Stackhouse Novel (Sookie Stackhouse/True Blood)"/>
        <s v="Dead in the Family (Sookie Stackhouse/True Blood, Book 10)"/>
        <s v="Dead Reckoning (Sookie Stackhouse/True Blood, Book 11)"/>
        <s v="Dear Zoo: A Lift-the-Flap Book"/>
        <s v="Decision Points"/>
        <s v="Delivering Happiness: A Path to Profits, Passion, and Purpose"/>
        <s v="Diagnostic and Statistical Manual of Mental Disorders, 5th Edition: DSM-5"/>
        <s v="Diary of a Wimpy Kid: Hard Luck, Book 8"/>
        <s v="Diary of a Wimpy Kid: The Last Straw (Book 3)"/>
        <s v="Diary of a Wimpy Kid: The Long Haul"/>
        <s v="Difficult Riddles For Smart Kids: 300 Difficult Riddles And Brain Teasers Families Will Love (Books for Smart Kids)"/>
        <s v="Divergent"/>
        <s v="Divergent / Insurgent"/>
        <s v="Divine Soul Mind Body Healing and Transmission System: The Divine Way to Heal You, Humanity, Mother Earth, and All…"/>
        <s v="Doctor Sleep: A Novel"/>
        <s v="Dog Days (Diary of a Wimpy Kid, Book 4) (Volume 4)"/>
        <s v="Dog Man and Cat Kid: From the Creator of Captain Underpants (Dog Man #4)"/>
        <s v="Dog Man: A Tale of Two Kitties: From the Creator of Captain Underpants (Dog Man #3)"/>
        <s v="Dog Man: Brawl of the Wild: From the Creator of Captain Underpants (Dog Man #6)"/>
        <s v="Dog Man: Fetch-22: From the Creator of Captain Underpants (Dog Man #8)"/>
        <s v="Dog Man: For Whom the Ball Rolls: From the Creator of Captain Underpants (Dog Man #7)"/>
        <s v="Dog Man: Lord of the Fleas: From the Creator of Captain Underpants (Dog Man #5)"/>
        <s v="Double Down (Diary of a Wimpy Kid #11)"/>
        <s v="Dover Creative Haven Art Nouveau Animal Designs Coloring Book (Creative Haven Coloring Books)"/>
        <s v="Drive: The Surprising Truth About What Motivates Us"/>
        <s v="Eat This Not That! Supermarket Survival Guide: The No-Diet Weight Loss Solution"/>
        <s v="Eat This, Not That! Thousands of Simple Food Swaps that Can Save You 10, 20, 30 Pounds--or More!"/>
        <s v="Eat to Live: The Amazing Nutrient-Rich Program for Fast and Sustained Weight Loss, Revised Edition"/>
        <s v="Eclipse (Twilight Sagas)"/>
        <s v="Eclipse (Twilight)"/>
        <s v="Educated: A Memoir"/>
        <s v="Enchanted Forest: An Inky Quest and Coloring book (Activity Books, Mindfulness and Meditation, Illustrated Floral Prints…"/>
        <s v="Fahrenheit 451"/>
        <s v="Fantastic Beasts and Where to Find Them: The Original Screenplay (Harry Potter)"/>
        <s v="Fear: Trump in the White House"/>
        <s v="Fifty Shades Darker"/>
        <s v="Fifty Shades Freed: Book Three of the Fifty Shades Trilogy (Fifty Shades of Grey Series) (English Edition)"/>
        <s v="Fifty Shades of Grey: Book One of the Fifty Shades Trilogy (Fifty Shades of Grey Series)"/>
        <s v="Fifty Shades Trilogy (Fifty Shades of Grey / Fifty Shades Darker / Fifty Shades Freed)"/>
        <s v="Fire and Fury: Inside the Trump White House"/>
        <s v="First 100 Words"/>
        <s v="Food Rules: An Eater's Manual"/>
        <s v="Frozen (Little Golden Book)"/>
        <s v="Game Change: Obama and the Clintons, McCain and Palin, and the Race of a Lifetime"/>
        <s v="Game of Thrones Boxed Set: A Game of Thrones/A Clash of Kings/A Storm of Swords/A Feast for Crows"/>
        <s v="George Washington's Sacred Fire"/>
        <s v="George Washington's Secret Six: The Spy Ring That Saved the American Revolution"/>
        <s v="Giraffes Can't Dance"/>
        <s v="Girl, Stop Apologizing: A Shame-Free Plan for Embracing and Achieving Your Goals"/>
        <s v="Girl, Wash Your Face: Stop Believing the Lies About Who You Are So You Can Become Who You Were Meant to Be"/>
        <s v="Glenn Beck's Common Sense: The Case Against an Out-of-Control Government, Inspired by Thomas Paine"/>
        <s v="Go Set a Watchman: A Novel"/>
        <s v="Go the F**k to Sleep"/>
        <s v="Going Rogue: An American Life"/>
        <s v="Gone Girl"/>
        <s v="Good Days Start With Gratitude: A 52 Week Guide To Cultivate An Attitude Of Gratitude: Gratitude Journal"/>
        <s v="Good to Great: Why Some Companies Make the Leap and Others Don't"/>
        <s v="Goodnight Moon"/>
        <s v="Goodnight, Goodnight Construction Site (Hardcover Books for Toddlers, Preschool Books for Kids)"/>
        <s v="Grain Brain: The Surprising Truth about Wheat, Carbs, and Sugar--Your Brain's Silent Killers"/>
        <s v="Grey: Fifty Shades of Grey as Told by Christian (Fifty Shades of Grey Series)"/>
        <s v="Guts"/>
        <s v="Hamilton: The Revolution"/>
        <s v="Happy, Happy, Happy: My Life and Legacy as the Duck Commander"/>
        <s v="Harry Potter and the Chamber of Secrets: The Illustrated Edition (Harry Potter, Book 2)"/>
        <s v="Harry Potter and the Cursed Child, Parts 1 &amp; 2, Special Rehearsal Edition Script"/>
        <s v="Harry Potter and the Goblet of Fire: The Illustrated Edition (Harry Potter, Book 4) (4)"/>
        <s v="Harry Potter and the Prisoner of Azkaban: The Illustrated Edition (Harry Potter, Book 3)"/>
        <s v="Harry Potter and the Sorcerer's Stone: The Illustrated Edition (Harry Potter, Book 1)"/>
        <s v="Harry Potter Coloring Book"/>
        <s v="Harry Potter Paperback Box Set (Books 1-7)"/>
        <s v="Have a Little Faith: A True Story"/>
        <s v="Heaven is for Real: A Little Boy's Astounding Story of His Trip to Heaven and Back"/>
        <s v="Hillbilly Elegy: A Memoir of a Family and Culture in Crisis"/>
        <s v="Homebody: A Guide to Creating Spaces You Never Want to Leave"/>
        <s v="How to Win Friends &amp; Influence People"/>
        <s v="Howard Stern Comes Again"/>
        <s v="Humans of New York"/>
        <s v="Humans of New York : Stories"/>
        <s v="Hyperbole and a Half: Unfortunate Situations, Flawed Coping Mechanisms, Mayhem, and Other Things That Happened"/>
        <s v="I Am Confident, Brave &amp; Beautiful: A Coloring Book for Girls"/>
        <s v="I, Alex Cross"/>
        <s v="If Animals Kissed Good Night"/>
        <s v="If I Stay"/>
        <s v="In the Garden of Beasts: Love, Terror, and an American Family in Hitler's Berlin"/>
        <s v="Inferno"/>
        <s v="Inheritance: Book IV (Inheritance Cycle)"/>
        <s v="Instant Pot Pressure Cooker Cookbook: 500 Everyday Recipes for Beginners and Advanced Users. Try Easy and Healthy…"/>
        <s v="It's Not Supposed to Be This Way: Finding Unexpected Strength When Disappointments Leave You Shattered"/>
        <s v="Jesus Calling: Enjoying Peace in His Presence (with Scripture References)"/>
        <s v="JOURNEY TO THE ICE P"/>
        <s v="Joyland (Hard Case Crime)"/>
        <s v="Killers of the Flower Moon: The Osage Murders and the Birth of the FBI"/>
        <s v="Killing Jesus (Bill O'Reilly's Killing Series)"/>
        <s v="Killing Kennedy: The End of Camelot"/>
        <s v="Killing Lincoln: The Shocking Assassination that Changed America Forever (Bill O'Reilly's Killing Series)"/>
        <s v="Killing Patton: The Strange Death of World War II's Most Audacious General (Bill O'Reilly's Killing Series)"/>
        <s v="Killing Reagan: The Violent Assault That Changed a Presidency (Bill O'Reilly's Killing Series)"/>
        <s v="Killing the Rising Sun: How America Vanquished World War II Japan (Bill O'Reilly's Killing Series)"/>
        <s v="Kitchen Confidential Updated Edition: Adventures in the Culinary Underbelly (P.S.)"/>
        <s v="Knock-Knock Jokes for Kids"/>
        <s v="Last Week Tonight with John Oliver Presents A Day in the Life of Marlon Bundo (Better Bundo Book, LGBT Childrens Book)"/>
        <s v="Laugh-Out-Loud Jokes for Kids"/>
        <s v="Lean In: Women, Work, and the Will to Lead"/>
        <s v="Leonardo da Vinci"/>
        <s v="Lettering and Modern Calligraphy: A Beginner's Guide: Learn Hand Lettering and Brush Lettering"/>
        <s v="Liberty and Tyranny: A Conservative Manifesto"/>
        <s v="Life"/>
        <s v="Little Bee: A Novel"/>
        <s v="Little Blue Truck"/>
        <s v="Little Fires Everywhere"/>
        <s v="Looking for Alaska"/>
        <s v="Love Wins: A Book About Heaven, Hell, and the Fate of Every Person Who Ever Lived"/>
        <s v="Love You Forever"/>
        <s v="Magnolia Table: A Collection of Recipes for Gathering"/>
        <s v="Make It Ahead: A Barefoot Contessa Cookbook"/>
        <s v="Make Your Bed: Little Things That Can Change Your Life...And Maybe the World"/>
        <s v="Mastering the Art of French Cooking, Vol. 2"/>
        <s v="Milk and Honey"/>
        <s v="Milk and Vine: Inspirational Quotes From Classic Vines"/>
        <s v="Mindset: The New Psychology of Success"/>
        <s v="Mockingjay (The Hunger Games)"/>
        <s v="National Geographic Kids Why?: Over 1,111 Answers to Everything"/>
        <s v="National Geographic Little Kids First Big Book of Why (National Geographic Little Kids First Big Books)"/>
        <s v="New Moon (The Twilight Saga)"/>
        <s v="Night (Night)"/>
        <s v="No Easy Day: The Autobiography of a Navy Seal: The Firsthand Account of the Mission That Killed Osama Bin Laden"/>
        <s v="Obama: An Intimate Portrait"/>
        <s v="Oh, the Places You'll Go!"/>
        <s v="Old School (Diary of a Wimpy Kid #10)"/>
        <s v="Olive Kitteridge"/>
        <s v="One Thousand Gifts: A Dare to Live Fully Right Where You Are"/>
        <s v="Option B: Facing Adversity, Building Resilience, and Finding Joy"/>
        <s v="Origin: A Novel (Robert Langdon)"/>
        <s v="Orphan Train"/>
        <s v="Outliers: The Story of Success"/>
        <s v="P is for Potty! (Sesame Street) (Lift-the-Flap)"/>
        <s v="Percy Jackson and the Olympians Paperback Boxed Set (Books 1-3)"/>
        <s v="Player's Handbook (Dungeons &amp; Dragons)"/>
        <s v="Pokémon Deluxe Essential Handbook: The Need-to-Know Stats and Facts on Over 700 Pokémon"/>
        <s v="Proof of Heaven: A Neurosurgeon's Journey into the Afterlife"/>
        <s v="Publication Manual of the American Psychological Association, 6th Edition"/>
        <s v="Puppy Birthday to You! (Paw Patrol) (Little Golden Book)"/>
        <s v="Quiet: The Power of Introverts in a World That Can't Stop Talking"/>
        <s v="Radical: Taking Back Your Faith from the American Dream"/>
        <s v="Ready Player One: A Novel"/>
        <s v="Rush Revere and the Brave Pilgrims: Time-Travel Adventures with Exceptional Americans (1)"/>
        <s v="Rush Revere and the First Patriots: Time-Travel Adventures With Exceptional Americans (2)"/>
        <s v="Salt, Fat, Acid, Heat: Mastering the Elements of Good Cooking"/>
        <s v="Sarah's Key"/>
        <s v="School Zone - Big Preschool Workbook - Ages 4 and Up, Colors, Shapes, Numbers 1-10, Alphabet, Pre-Writing, Pre-Reading…"/>
        <s v="Secret Garden: An Inky Treasure Hunt and Coloring Book (For Adults, mindfulness coloring)"/>
        <s v="Sh*t My Dad Says"/>
        <s v="Ship of Fools: How a Selfish Ruling Class Is Bringing America to the Brink of Revolution"/>
        <s v="Shred: The Revolutionary Diet: 6 Weeks 4 Inches 2 Sizes"/>
        <s v="Sookie Stackhouse"/>
        <s v="Soul Healing Miracles: Ancient and New Sacred Wisdom, Knowledge, and Practical Techniques for Healing the Spiritual…"/>
        <s v="Steve Jobs"/>
        <s v="Strange Planet (Strange Planet Series)"/>
        <s v="StrengthsFinder 2.0"/>
        <s v="Super Freakonomics: Global Cooling, Patriotic Prostitutes, and Why Suicide Bombers Should Buy Life Insurance"/>
        <s v="Switch: How to Change Things When Change Is Hard"/>
        <s v="Sycamore Row (Jake Brigance)"/>
        <s v="Teach Like a Champion: 49 Techniques that Put Students on the Path to College"/>
        <s v="The 17 Day Diet: A Doctor's Plan Designed for Rapid Results"/>
        <s v="The 4 Hour Body: An Uncommon Guide to Rapid Fat Loss, Incredible Sex and Becoming Superhuman"/>
        <s v="The 5 Love Languages: The Secret to Love That Lasts"/>
        <s v="The 5000 Year Leap"/>
        <s v="The 7 Habits of Highly Effective People: Powerful Lessons in Personal Change"/>
        <s v="The Alchemist"/>
        <s v="The Amateur"/>
        <s v="The Art of Racing in the Rain: A Novel"/>
        <s v="The Big Short: Inside the Doomsday Machine"/>
        <s v="The Blood of Olympus (The Heroes of Olympus (5))"/>
        <s v="The Blood Sugar Solution: The UltraHealthy Program for Losing Weight, Preventing Disease, and Feeling Great Now!"/>
        <s v="The Body Keeps the Score: Brain, Mind, and Body in the Healing of Trauma"/>
        <s v="The Book of Basketball: The NBA According to The Sports Guy"/>
        <s v="The Book Thief"/>
        <s v="The Book with No Pictures"/>
        <s v="The Boys in the Boat: Nine Americans and Their Epic Quest for Gold at the 1936 Berlin Olympics"/>
        <s v="The Casual Vacancy"/>
        <s v="The China Study: The Most Comprehensive Study of Nutrition Ever Conducted And the Startling Implications for Diet…"/>
        <s v="The Complete Ketogenic Diet for Beginners: Your Essential Guide to Living the Keto Lifestyle"/>
        <s v="The Confession: A Novel"/>
        <s v="The Constitution of the United States"/>
        <s v="The Daily Show with Jon Stewart Presents Earth (The Book): A Visitor's Guide to the Human Race"/>
        <s v="The Day the Crayons Quit"/>
        <s v="The Dukan Diet: 2 Steps to Lose the Weight, 2 Steps to Keep It Off Forever"/>
        <s v="The Elegance of the Hedgehog"/>
        <s v="The Fault in Our Stars"/>
        <s v="The Five Dysfunctions of a Team: A Leadership Fable"/>
        <s v="The Five Love Languages: How to Express Heartfelt Commitment to Your Mate"/>
        <s v="The Four Agreements: A Practical Guide to Personal Freedom (A Toltec Wisdom Book)"/>
        <s v="The Getaway"/>
        <s v="The Girl on the Train"/>
        <s v="The Girl Who Kicked the Hornet's Nest (Millennium Trilogy)"/>
        <s v="The Girl Who Played with Fire (Millennium Series)"/>
        <s v="The Girl Who Played with Fire (Millennium)"/>
        <s v="The Girl with the Dragon Tattoo (Millennium Series)"/>
        <s v="The Going-To-Bed Book"/>
        <s v="The Goldfinch: A Novel (Pulitzer Prize for Fiction)"/>
        <s v="The Great Gatsby"/>
        <s v="The Guardians: A Novel"/>
        <s v="The Guernsey Literary and Potato Peel Pie Society"/>
        <s v="The Handmaid's Tale"/>
        <s v="The Harbinger: The Ancient Mystery that Holds the Secret of America's Future"/>
        <s v="The Hate U Give"/>
        <s v="The Help"/>
        <s v="The House of Hades (Heroes of Olympus, Book 4)"/>
        <s v="The Hunger Games"/>
        <s v="The Hunger Games (Book 1)"/>
        <s v="The Hunger Games Trilogy Boxed Set (1)"/>
        <s v="The Immortal Life of Henrietta Lacks"/>
        <s v="The Instant Pot Electric Pressure Cooker Cookbook: Easy Recipes for Fast &amp; Healthy Meals"/>
        <s v="The Last Lecture"/>
        <s v="The Last Olympian (Percy Jackson and the Olympians, Book 5)"/>
        <s v="The Legend of Zelda: Hyrule Historia"/>
        <s v="The Lego Ideas Book: Unlock Your Imagination"/>
        <s v="The Life-Changing Magic of Tidying Up: The Japanese Art of Decluttering and Organizing"/>
        <s v="The Litigators"/>
        <s v="The Lost Hero (Heroes of Olympus, Book 1)"/>
        <s v="The Lost Symbol"/>
        <s v="The Love Dare"/>
        <s v="The Magnolia Story"/>
        <s v="The Mark of Athena (Heroes of Olympus, Book 3)"/>
        <s v="The Martian"/>
        <s v="The Maze Runner (Book 1)"/>
        <s v="The Meltdown (Diary of a Wimpy Kid Book 13)"/>
        <s v="The Mueller Report"/>
        <s v="The Nightingale: A Novel"/>
        <s v="The Official SAT Study Guide"/>
        <s v="The Official SAT Study Guide, 2016 Edition (Official Study Guide for the New Sat)"/>
        <s v="The Paris Wife: A Novel"/>
        <s v="The Pioneer Woman Cooks: A Year of Holidays: 140 Step-by-Step Recipes for Simple, Scrumptious Celebrations"/>
        <s v="The Pioneer Woman Cooks: Dinnertime - Comfort Classics, Freezer Food, 16-minute Meals, and Other Delicious Ways to Solve…"/>
        <s v="The Pioneer Woman Cooks: Food from My Frontier"/>
        <s v="The Plant Paradox Cookbook: 100 Delicious Recipes to Help You Lose Weight, Heal Your Gut, and Live Lectin-Free"/>
        <s v="The Plant Paradox: The Hidden Dangers in &quot;Healthy&quot; Foods That Cause Disease and Weight Gain"/>
        <s v="The Pout-Pout Fish"/>
        <s v="The Power of Habit: Why We Do What We Do in Life and Business"/>
        <s v="The President Is Missing: A Novel"/>
        <s v="The Racketeer"/>
        <s v="The Red Pyramid (The Kane Chronicles, Book 1)"/>
        <s v="The Road to Serfdom: Text and Documents--The Definitive Edition (The Collected Works of F. A. Hayek, Volume 2)"/>
        <s v="The Serpent's Shadow (The Kane Chronicles, Book 3)"/>
        <s v="The Shack: Where Tragedy Confronts Eternity"/>
        <s v="The Short Second Life of Bree Tanner: An Eclipse Novella (The Twilight Saga)"/>
        <s v="The Silent Patient"/>
        <s v="The Son of Neptune (Heroes of Olympus, Book 2)"/>
        <s v="The Subtle Art of Not Giving a F*ck: A Counterintuitive Approach to Living a Good Life"/>
        <s v="The Sun and Her Flowers"/>
        <s v="The Third Wheel (Diary of a Wimpy Kid, Book 7)"/>
        <s v="The Throne of Fire (The Kane Chronicles, Book 2)"/>
        <s v="The Time Traveler's Wife"/>
        <s v="The Tipping Point: How Little Things Can Make a Big Difference"/>
        <s v="The Total Money Makeover: Classic Edition: A Proven Plan for Financial Fitness"/>
        <s v="The Twilight Saga Collection"/>
        <s v="The Ugly Truth (Diary of a Wimpy Kid, Book 5)"/>
        <s v="The Unofficial Harry Potter Cookbook: From Cauldron Cakes to Knickerbocker Glory--More Than 150 Magical Recipes for…"/>
        <s v="The Very Hungry Caterpillar"/>
        <s v="The Whole30: The 30-Day Guide to Total Health and Food Freedom"/>
        <s v="The Wonderful Things You Will Be"/>
        <s v="The Wonky Donkey"/>
        <s v="The Wright Brothers"/>
        <s v="Things That Matter: Three Decades of Passions, Pastimes and Politics [Deckled Edge]"/>
        <s v="Thinking, Fast and Slow"/>
        <s v="Thirteen Reasons Why"/>
        <s v="Thomas Jefferson: The Art of Power"/>
        <s v="Three Cups of Tea: One Man's Mission to Promote Peace - One School at a Time"/>
        <s v="Thug Kitchen: The Official Cookbook: Eat Like You Give a F*ck (Thug Kitchen Cookbooks)"/>
        <s v="Tina Fey: Bossypants"/>
        <s v="To Kill a Mockingbird"/>
        <s v="Tools of Titans: The Tactics, Routines, and Habits of Billionaires, Icons, and World-Class Performers"/>
        <s v="Towers of Midnight (Wheel of Time, Book Thirteen)"/>
        <s v="True Compass: A Memoir"/>
        <s v="Twilight (The Twilight Saga, Book 1)"/>
        <s v="Ultimate Sticker Book: Frozen: More Than 60 Reusable Full-Color Stickers"/>
        <s v="Unbroken: A World War II Story of Survival, Resilience, and Redemption"/>
        <s v="Under the Dome: A Novel"/>
        <s v="Unfreedom of the Press"/>
        <s v="Unicorn Coloring Book: For Kids Ages 4-8 (US Edition) (Silly Bear Coloring Books)"/>
        <s v="Uninvited: Living Loved When You Feel Less Than, Left Out, and Lonely"/>
        <s v="Watchmen"/>
        <s v="Water for Elephants: A Novel"/>
        <s v="What Happened"/>
        <s v="What If?: Serious Scientific Answers to Absurd Hypothetical Questions"/>
        <s v="What Pet Should I Get? (Classic Seuss)"/>
        <s v="What Should Danny Do? (The Power to Choose Series)"/>
        <s v="What to Expect When You're Expecting"/>
        <s v="Wheat Belly: Lose the Wheat, Lose the Weight, and Find Your Path Back to Health"/>
        <s v="When Breath Becomes Air"/>
        <s v="Where the Crawdads Sing"/>
        <s v="Where the Wild Things Are"/>
        <s v="Whose Boat Is This Boat?: Comments That Don't Help in the Aftermath of a Hurricane"/>
        <s v="Wild: From Lost to Found on the Pacific Crest Trail"/>
        <s v="Winter of the World: Book Two of the Century Trilogy"/>
        <s v="Women Food and God: An Unexpected Path to Almost Everything"/>
        <s v="Wonder"/>
        <s v="Wrecking Ball (Diary of a Wimpy Kid Book 14)"/>
        <s v="You Are a Badass: How to Stop Doubting Your Greatness and Start Living an Awesome Life"/>
      </sharedItems>
    </cacheField>
    <cacheField name="Author" numFmtId="0">
      <sharedItems count="248">
        <s v="JJ Smith"/>
        <s v="Stephen King"/>
        <s v="Jordan B. Peterson"/>
        <s v="George Orwell"/>
        <s v="National Geographic Kids"/>
        <s v="George R. R. Martin"/>
        <s v="Amor Towles"/>
        <s v="James Comey"/>
        <s v="Fredrik Backman"/>
        <s v="Larry Schweikart"/>
        <s v="Jaycee Dugard"/>
        <s v="Madeleine L'Engle"/>
        <s v="Steve Harvey"/>
        <s v="Adult Coloring Book Designs"/>
        <s v="Blue Star Coloring"/>
        <s v="Coloring Books for Adults"/>
        <s v="Ron Chernow"/>
        <s v="Anthony Doerr"/>
        <s v="Veronica Roth"/>
        <s v="Chris Kyle"/>
        <s v="Khaled Hosseini"/>
        <s v="Glenn Beck"/>
        <s v="Neil deGrasse Tyson"/>
        <s v="Mark Twain"/>
        <s v="DK"/>
        <s v="Angie Grace"/>
        <s v="Ina Garten"/>
        <s v="Michelle Obama"/>
        <s v="Atul Gawande"/>
        <s v="Ta-Nehisi Coates"/>
        <s v="Bruce Springsteen"/>
        <s v="Stephenie Meyer"/>
        <s v="Bill Martin Jr."/>
        <s v="Jeff Kinney"/>
        <s v="Sasha O'Hara"/>
        <s v="David Goggins"/>
        <s v="Thomas Piketty"/>
        <s v="Suzanne Collins"/>
        <s v="Chrissy Teigen"/>
        <s v="Francis Chan"/>
        <s v="Kevin Kwan"/>
        <s v="Marjorie Sarnat"/>
        <s v="Abraham Verghese"/>
        <s v="Brené Brown"/>
        <s v="Malcolm Gladwell"/>
        <s v="Charlaine Harris"/>
        <s v="Rod Campbell"/>
        <s v="George W. Bush"/>
        <s v="Tony Hsieh"/>
        <s v="American Psychiatric Association"/>
        <s v="M Prefontaine"/>
        <s v="Zhi Gang Sha"/>
        <s v="Dav Pilkey"/>
        <s v="Marty Noble"/>
        <s v="Daniel H. Pink"/>
        <s v="David Zinczenko"/>
        <s v="Joel Fuhrman MD"/>
        <s v="Tara Westover"/>
        <s v="Johanna Basford"/>
        <s v="Ray Bradbury"/>
        <s v="J.K. Rowling"/>
        <s v="Bob Woodward"/>
        <s v="E L James"/>
        <s v="Michael Wolff"/>
        <s v="Roger Priddy"/>
        <s v="Michael Pollan"/>
        <s v="RH Disney"/>
        <s v="John Heilemann"/>
        <s v="George R.R. Martin"/>
        <s v="Peter A. Lillback"/>
        <s v="Brian Kilmeade"/>
        <s v="Giles Andreae"/>
        <s v="Rachel Hollis"/>
        <s v="Harper Lee"/>
        <s v="Adam Mansbach"/>
        <s v="Sarah Palin"/>
        <s v="Gillian Flynn"/>
        <s v="Pretty Simple Press"/>
        <s v="Jim Collins"/>
        <s v="Margaret Wise Brown"/>
        <s v="Sherri Duskey Rinker"/>
        <s v="David Perlmutter MD"/>
        <s v="Raina Telgemeier"/>
        <s v="Lin-Manuel Miranda"/>
        <s v="Phil Robertson"/>
        <s v="J. K. Rowling"/>
        <s v="Scholastic"/>
        <s v="Mitch Albom"/>
        <s v="Todd Burpo"/>
        <s v="J. D. Vance"/>
        <s v="Joanna Gaines"/>
        <s v="Dale Carnegie"/>
        <s v="Howard Stern"/>
        <s v="Brandon Stanton"/>
        <s v="Allie Brosh"/>
        <s v="Hopscotch Girls"/>
        <s v="James Patterson"/>
        <s v="Ann Whitford Paul"/>
        <s v="Gayle Forman"/>
        <s v="Eric Larson"/>
        <s v="Dan Brown"/>
        <s v="Christopher Paolini"/>
        <s v="Jennifer Smith"/>
        <s v="Lysa TerKeurst"/>
        <s v="Sarah Young"/>
        <s v="David Grann"/>
        <s v="Bill O'Reilly"/>
        <s v="Anthony Bourdain"/>
        <s v="Rob Elliott"/>
        <s v="Jill Twiss"/>
        <s v="Sheryl Sandberg"/>
        <s v="Walter Isaacson"/>
        <s v="Paper Peony Press"/>
        <s v="Mark R. Levin"/>
        <s v="Keith Richards"/>
        <s v="Chris Cleave"/>
        <s v="Alice Schertle"/>
        <s v="Celeste Ng"/>
        <s v="John Green"/>
        <s v="Rob Bell"/>
        <s v="Robert Munsch"/>
        <s v="Admiral William H. McRaven"/>
        <s v="Julia Child"/>
        <s v="Rupi Kaur"/>
        <s v="Adam Gasiewski"/>
        <s v="Carol S. Dweck"/>
        <s v="Crispin Boyer"/>
        <s v="Amy Shields"/>
        <s v="Elie Wiesel"/>
        <s v="Mark Owen"/>
        <s v="Pete Souza"/>
        <s v="Dr. Seuss"/>
        <s v="Elizabeth Strout"/>
        <s v="Ann Voskamp"/>
        <s v="Christina Baker Kline"/>
        <s v="Naomi Kleinberg"/>
        <s v="Rick Riordan"/>
        <s v="Wizards RPG Team"/>
        <s v="Eben Alexander"/>
        <s v="American Psychological Association"/>
        <s v="Golden Books"/>
        <s v="Susan Cain"/>
        <s v="David Platt"/>
        <s v="Ernest Cline"/>
        <s v="Rush Limbaugh"/>
        <s v="Samin Nosrat"/>
        <s v="Tatiana de Rosnay"/>
        <s v="School Zone"/>
        <s v="Justin Halpern"/>
        <s v="Tucker Carlson"/>
        <s v="Ian K. Smith M.D."/>
        <s v="Nathan W. Pyle"/>
        <s v="Gallup"/>
        <s v="Steven D. Levitt"/>
        <s v="Chip Heath"/>
        <s v="John Grisham"/>
        <s v="Doug Lemov"/>
        <s v="Mike Moreno"/>
        <s v="Timothy Ferriss"/>
        <s v="Gary Chapman"/>
        <s v="W. Cleon Skousen"/>
        <s v="Stephen R. Covey"/>
        <s v="Paulo Coelho"/>
        <s v="Edward Klein"/>
        <s v="Garth Stein"/>
        <s v="Michael Lewis"/>
        <s v="Mark Hyman M.D."/>
        <s v="Bessel van der Kolk M.D."/>
        <s v="Bill Simmons"/>
        <s v="Markus Zusak"/>
        <s v="B. J. Novak"/>
        <s v="Daniel James Brown"/>
        <s v="Thomas Campbell"/>
        <s v="Amy Ramos"/>
        <s v="Delegates of the Constitutional"/>
        <s v="Jon Stewart"/>
        <s v="Drew Daywalt"/>
        <s v="Pierre Dukan"/>
        <s v="Muriel Barbery"/>
        <s v="Patrick Lencioni"/>
        <s v="Don Miguel Ruiz"/>
        <s v="Paula Hawkins"/>
        <s v="Stieg Larsson"/>
        <s v="Sandra Boynton"/>
        <s v="Donna Tartt"/>
        <s v="F. Scott Fitzgerald"/>
        <s v="Mary Ann Shaffer"/>
        <s v="Margaret Atwood"/>
        <s v="Jonathan Cahn"/>
        <s v="Angie Thomas"/>
        <s v="Kathryn Stockett"/>
        <s v="Rebecca Skloot"/>
        <s v="Laurel Randolph"/>
        <s v="Randy Pausch"/>
        <s v="Patrick Thorpe"/>
        <s v="Daniel Lipkowitz"/>
        <s v="Marie Kondō"/>
        <s v="Stephen Kendrick"/>
        <s v="Chip Gaines"/>
        <s v="Andy Weir"/>
        <s v="James Dashner"/>
        <s v="The Washington Post"/>
        <s v="Kristin Hannah"/>
        <s v="The College Board"/>
        <s v="Paula McLain"/>
        <s v="Ree Drummond"/>
        <s v="Dr. Steven R Gundry MD"/>
        <s v="Deborah Diesen"/>
        <s v="Charles Duhigg"/>
        <s v="F. A. Hayek"/>
        <s v="William P. Young"/>
        <s v="Alex Michaelides"/>
        <s v="Mark Manson"/>
        <s v="Audrey Niffenegger"/>
        <s v="Dave Ramsey"/>
        <s v="Dinah Bucholz"/>
        <s v="Eric Carle"/>
        <s v="Melissa Hartwig Urban"/>
        <s v="Emily Winfield Martin"/>
        <s v="Craig Smith"/>
        <s v="David McCullough"/>
        <s v="Charles Krauthammer"/>
        <s v="Daniel Kahneman"/>
        <s v="Jay Asher"/>
        <s v="Jon Meacham"/>
        <s v="Greg Mortenson"/>
        <s v="Thug Kitchen"/>
        <s v="Tina Fey"/>
        <s v="Robert Jordan"/>
        <s v="Edward M. Kennedy"/>
        <s v="Laura Hillenbrand"/>
        <s v="Silly Bear"/>
        <s v="Alan Moore"/>
        <s v="Sara Gruen"/>
        <s v="Hillary Rodham Clinton"/>
        <s v="Randall Munroe"/>
        <s v="Adir Levy"/>
        <s v="Heidi Murkoff"/>
        <s v="William Davis"/>
        <s v="Paul Kalanithi"/>
        <s v="Delia Owens"/>
        <s v="Maurice Sendak"/>
        <s v="The Staff of The Late Show with"/>
        <s v="Cheryl Strayed"/>
        <s v="Ken Follett"/>
        <s v="Geneen Roth"/>
        <s v="R. J. Palacio"/>
        <s v="Jen Sincero"/>
      </sharedItems>
    </cacheField>
    <cacheField name="User Rating" numFmtId="0">
      <sharedItems containsSemiMixedTypes="0" containsString="0" containsNumber="1" minValue="3.3" maxValue="4.9000000000000004"/>
    </cacheField>
    <cacheField name="Reviews" numFmtId="0">
      <sharedItems containsSemiMixedTypes="0" containsString="0" containsNumber="1" containsInteger="1" minValue="37" maxValue="87841" count="346">
        <n v="17350"/>
        <n v="2052"/>
        <n v="18979"/>
        <n v="21424"/>
        <n v="7665"/>
        <n v="12643"/>
        <n v="19735"/>
        <n v="19699"/>
        <n v="5983"/>
        <n v="23848"/>
        <n v="460"/>
        <n v="4149"/>
        <n v="5153"/>
        <n v="5013"/>
        <n v="2313"/>
        <n v="2925"/>
        <n v="2951"/>
        <n v="2426"/>
        <n v="9198"/>
        <n v="36348"/>
        <n v="6310"/>
        <n v="15921"/>
        <n v="12159"/>
        <n v="798"/>
        <n v="9374"/>
        <n v="491"/>
        <n v="5360"/>
        <n v="1909"/>
        <n v="1296"/>
        <n v="615"/>
        <n v="61133"/>
        <n v="11113"/>
        <n v="10070"/>
        <n v="3729"/>
        <n v="9769"/>
        <n v="471"/>
        <n v="14344"/>
        <n v="4505"/>
        <n v="10369"/>
        <n v="16244"/>
        <n v="2884"/>
        <n v="22614"/>
        <n v="4761"/>
        <n v="1542"/>
        <n v="6143"/>
        <n v="4022"/>
        <n v="3871"/>
        <n v="4866"/>
        <n v="1329"/>
        <n v="4642"/>
        <n v="1541"/>
        <n v="1924"/>
        <n v="2094"/>
        <n v="10922"/>
        <n v="2137"/>
        <n v="1651"/>
        <n v="6679"/>
        <n v="6812"/>
        <n v="3837"/>
        <n v="6540"/>
        <n v="7955"/>
        <n v="27098"/>
        <n v="17684"/>
        <n v="37"/>
        <n v="15845"/>
        <n v="3181"/>
        <n v="5062"/>
        <n v="4786"/>
        <n v="7235"/>
        <n v="12619"/>
        <n v="9089"/>
        <n v="5470"/>
        <n v="5118"/>
        <n v="2134"/>
        <n v="2525"/>
        <n v="720"/>
        <n v="956"/>
        <n v="6346"/>
        <n v="5505"/>
        <n v="28729"/>
        <n v="5413"/>
        <n v="10721"/>
        <n v="4370"/>
        <n v="6042"/>
        <n v="23631"/>
        <n v="20262"/>
        <n v="47265"/>
        <n v="13964"/>
        <n v="13677"/>
        <n v="17323"/>
        <n v="1555"/>
        <n v="3642"/>
        <n v="1215"/>
        <n v="5594"/>
        <n v="408"/>
        <n v="4799"/>
        <n v="14038"/>
        <n v="7660"/>
        <n v="22288"/>
        <n v="1365"/>
        <n v="14982"/>
        <n v="9568"/>
        <n v="1636"/>
        <n v="57271"/>
        <n v="10141"/>
        <n v="3457"/>
        <n v="8837"/>
        <n v="7038"/>
        <n v="5972"/>
        <n v="25624"/>
        <n v="5476"/>
        <n v="5867"/>
        <n v="4148"/>
        <n v="19622"/>
        <n v="23973"/>
        <n v="7758"/>
        <n v="3146"/>
        <n v="10052"/>
        <n v="3564"/>
        <n v="13471"/>
        <n v="1930"/>
        <n v="15779"/>
        <n v="15526"/>
        <n v="3776"/>
        <n v="25001"/>
        <n v="5272"/>
        <n v="3490"/>
        <n v="2812"/>
        <n v="4896"/>
        <n v="9737"/>
        <n v="1320"/>
        <n v="16643"/>
        <n v="7153"/>
        <n v="4571"/>
        <n v="29651"/>
        <n v="5299"/>
        <n v="7396"/>
        <n v="7062"/>
        <n v="19576"/>
        <n v="978"/>
        <n v="4748"/>
        <n v="8393"/>
        <n v="11391"/>
        <n v="8634"/>
        <n v="9342"/>
        <n v="10927"/>
        <n v="5235"/>
        <n v="8916"/>
        <n v="2507"/>
        <n v="3673"/>
        <n v="11881"/>
        <n v="6990"/>
        <n v="6132"/>
        <n v="3014"/>
        <n v="7550"/>
        <n v="3828"/>
        <n v="2752"/>
        <n v="1467"/>
        <n v="1884"/>
        <n v="25706"/>
        <n v="8491"/>
        <n v="1649"/>
        <n v="18613"/>
        <n v="9867"/>
        <n v="1386"/>
        <n v="10199"/>
        <n v="2926"/>
        <n v="17739"/>
        <n v="3113"/>
        <n v="5542"/>
        <n v="26741"/>
        <n v="5347"/>
        <n v="7866"/>
        <n v="5680"/>
        <n v="5178"/>
        <n v="8093"/>
        <n v="3192"/>
        <n v="21834"/>
        <n v="6169"/>
        <n v="4519"/>
        <n v="3163"/>
        <n v="1831"/>
        <n v="18904"/>
        <n v="21930"/>
        <n v="10426"/>
        <n v="10820"/>
        <n v="548"/>
        <n v="16990"/>
        <n v="3503"/>
        <n v="13616"/>
        <n v="8580"/>
        <n v="4757"/>
        <n v="10009"/>
        <n v="1985"/>
        <n v="22536"/>
        <n v="7150"/>
        <n v="3836"/>
        <n v="7802"/>
        <n v="3619"/>
        <n v="23047"/>
        <n v="9366"/>
        <n v="1265"/>
        <n v="3923"/>
        <n v="2272"/>
        <n v="973"/>
        <n v="220"/>
        <n v="7827"/>
        <n v="9382"/>
        <n v="5069"/>
        <n v="1583"/>
        <n v="1907"/>
        <n v="23114"/>
        <n v="637"/>
        <n v="2314"/>
        <n v="4587"/>
        <n v="3477"/>
        <n v="25554"/>
        <n v="1680"/>
        <n v="9325"/>
        <n v="4725"/>
        <n v="35799"/>
        <n v="2580"/>
        <n v="11813"/>
        <n v="3536"/>
        <n v="6600"/>
        <n v="1789"/>
        <n v="12361"/>
        <n v="858"/>
        <n v="23148"/>
        <n v="8081"/>
        <n v="23358"/>
        <n v="9372"/>
        <n v="4633"/>
        <n v="13061"/>
        <n v="3523"/>
        <n v="2774"/>
        <n v="440"/>
        <n v="8922"/>
        <n v="2023"/>
        <n v="1859"/>
        <n v="50482"/>
        <n v="3207"/>
        <n v="803"/>
        <n v="23308"/>
        <n v="5836"/>
        <n v="79446"/>
        <n v="7747"/>
        <n v="7251"/>
        <n v="10559"/>
        <n v="5249"/>
        <n v="33844"/>
        <n v="11616"/>
        <n v="13609"/>
        <n v="8587"/>
        <n v="29442"/>
        <n v="11098"/>
        <n v="9947"/>
        <n v="13871"/>
        <n v="6982"/>
        <n v="32122"/>
        <n v="16949"/>
        <n v="9289"/>
        <n v="7368"/>
        <n v="4028"/>
        <n v="4628"/>
        <n v="5396"/>
        <n v="4247"/>
        <n v="22641"/>
        <n v="6222"/>
        <n v="4506"/>
        <n v="8747"/>
        <n v="1655"/>
        <n v="7861"/>
        <n v="6247"/>
        <n v="39459"/>
        <n v="10101"/>
        <n v="5898"/>
        <n v="2744"/>
        <n v="49288"/>
        <n v="1201"/>
        <n v="807"/>
        <n v="3759"/>
        <n v="2663"/>
        <n v="3428"/>
        <n v="2876"/>
        <n v="3601"/>
        <n v="7058"/>
        <n v="9784"/>
        <n v="10795"/>
        <n v="10191"/>
        <n v="14493"/>
        <n v="2186"/>
        <n v="1204"/>
        <n v="2091"/>
        <n v="19720"/>
        <n v="2122"/>
        <n v="27536"/>
        <n v="4290"/>
        <n v="26490"/>
        <n v="5487"/>
        <n v="6377"/>
        <n v="1463"/>
        <n v="11550"/>
        <n v="3801"/>
        <n v="3796"/>
        <n v="9030"/>
        <n v="19546"/>
        <n v="7508"/>
        <n v="8842"/>
        <n v="30183"/>
        <n v="7034"/>
        <n v="11034"/>
        <n v="7932"/>
        <n v="1904"/>
        <n v="3319"/>
        <n v="11128"/>
        <n v="5977"/>
        <n v="26234"/>
        <n v="4360"/>
        <n v="2282"/>
        <n v="438"/>
        <n v="11676"/>
        <n v="2586"/>
        <n v="29673"/>
        <n v="6740"/>
        <n v="5956"/>
        <n v="6108"/>
        <n v="4585"/>
        <n v="3829"/>
        <n v="8958"/>
        <n v="5492"/>
        <n v="9292"/>
        <n v="1873"/>
        <n v="8170"/>
        <n v="3341"/>
        <n v="7497"/>
        <n v="13779"/>
        <n v="87841"/>
        <n v="9967"/>
        <n v="6669"/>
        <n v="17044"/>
        <n v="10760"/>
        <n v="1302"/>
        <n v="21625"/>
        <n v="9413"/>
        <n v="14331"/>
      </sharedItems>
      <fieldGroup base="3">
        <rangePr autoStart="0" autoEnd="0" startNum="0" endNum="100000" groupInterval="10000"/>
        <groupItems count="12">
          <s v="&lt;0"/>
          <s v="0-9999"/>
          <s v="10000-19999"/>
          <s v="20000-29999"/>
          <s v="30000-39999"/>
          <s v="40000-49999"/>
          <s v="50000-59999"/>
          <s v="60000-69999"/>
          <s v="70000-79999"/>
          <s v="80000-89999"/>
          <s v="90000-100000"/>
          <s v="&gt;100000"/>
        </groupItems>
      </fieldGroup>
    </cacheField>
    <cacheField name="Price" numFmtId="0">
      <sharedItems containsSemiMixedTypes="0" containsString="0" containsNumber="1" containsInteger="1" minValue="0" maxValue="105"/>
    </cacheField>
    <cacheField name="Year" numFmtId="0">
      <sharedItems containsSemiMixedTypes="0" containsString="0" containsNumber="1" containsInteger="1" minValue="2009" maxValue="2019" count="11">
        <n v="2016"/>
        <n v="2011"/>
        <n v="2018"/>
        <n v="2017"/>
        <n v="2019"/>
        <n v="2014"/>
        <n v="2010"/>
        <n v="2009"/>
        <n v="2015"/>
        <n v="2013"/>
        <n v="2012"/>
      </sharedItems>
    </cacheField>
    <cacheField name="Genre" numFmtId="0">
      <sharedItems count="2">
        <s v="Non Fiction"/>
        <s v="Fiction"/>
      </sharedItems>
    </cacheField>
  </cacheFields>
  <extLst>
    <ext xmlns:x14="http://schemas.microsoft.com/office/spreadsheetml/2009/9/main" uri="{725AE2AE-9491-48be-B2B4-4EB974FC3084}">
      <x14:pivotCacheDefinition pivotCacheId="2002765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x v="0"/>
    <n v="4.7"/>
    <x v="0"/>
    <n v="8"/>
    <x v="0"/>
    <x v="0"/>
  </r>
  <r>
    <x v="1"/>
    <x v="1"/>
    <n v="4.5999999999999996"/>
    <x v="1"/>
    <n v="22"/>
    <x v="1"/>
    <x v="1"/>
  </r>
  <r>
    <x v="2"/>
    <x v="2"/>
    <n v="4.7"/>
    <x v="2"/>
    <n v="15"/>
    <x v="2"/>
    <x v="0"/>
  </r>
  <r>
    <x v="3"/>
    <x v="3"/>
    <n v="4.7"/>
    <x v="3"/>
    <n v="6"/>
    <x v="3"/>
    <x v="1"/>
  </r>
  <r>
    <x v="4"/>
    <x v="4"/>
    <n v="4.8"/>
    <x v="4"/>
    <n v="12"/>
    <x v="4"/>
    <x v="0"/>
  </r>
  <r>
    <x v="5"/>
    <x v="5"/>
    <n v="4.4000000000000004"/>
    <x v="5"/>
    <n v="11"/>
    <x v="1"/>
    <x v="1"/>
  </r>
  <r>
    <x v="6"/>
    <x v="5"/>
    <n v="4.7"/>
    <x v="6"/>
    <n v="30"/>
    <x v="5"/>
    <x v="1"/>
  </r>
  <r>
    <x v="7"/>
    <x v="6"/>
    <n v="4.7"/>
    <x v="7"/>
    <n v="15"/>
    <x v="3"/>
    <x v="1"/>
  </r>
  <r>
    <x v="8"/>
    <x v="7"/>
    <n v="4.7"/>
    <x v="8"/>
    <n v="3"/>
    <x v="2"/>
    <x v="0"/>
  </r>
  <r>
    <x v="9"/>
    <x v="8"/>
    <n v="4.5999999999999996"/>
    <x v="9"/>
    <n v="8"/>
    <x v="0"/>
    <x v="1"/>
  </r>
  <r>
    <x v="9"/>
    <x v="8"/>
    <n v="4.5999999999999996"/>
    <x v="9"/>
    <n v="8"/>
    <x v="3"/>
    <x v="1"/>
  </r>
  <r>
    <x v="10"/>
    <x v="9"/>
    <n v="4.5999999999999996"/>
    <x v="10"/>
    <n v="2"/>
    <x v="6"/>
    <x v="0"/>
  </r>
  <r>
    <x v="11"/>
    <x v="10"/>
    <n v="4.5999999999999996"/>
    <x v="11"/>
    <n v="32"/>
    <x v="1"/>
    <x v="0"/>
  </r>
  <r>
    <x v="12"/>
    <x v="11"/>
    <n v="4.5"/>
    <x v="12"/>
    <n v="5"/>
    <x v="2"/>
    <x v="1"/>
  </r>
  <r>
    <x v="13"/>
    <x v="12"/>
    <n v="4.5999999999999996"/>
    <x v="13"/>
    <n v="17"/>
    <x v="7"/>
    <x v="0"/>
  </r>
  <r>
    <x v="14"/>
    <x v="13"/>
    <n v="4.5"/>
    <x v="14"/>
    <n v="4"/>
    <x v="0"/>
    <x v="0"/>
  </r>
  <r>
    <x v="15"/>
    <x v="14"/>
    <n v="4.5999999999999996"/>
    <x v="15"/>
    <n v="6"/>
    <x v="8"/>
    <x v="0"/>
  </r>
  <r>
    <x v="16"/>
    <x v="14"/>
    <n v="4.4000000000000004"/>
    <x v="16"/>
    <n v="6"/>
    <x v="8"/>
    <x v="0"/>
  </r>
  <r>
    <x v="17"/>
    <x v="15"/>
    <n v="4.5"/>
    <x v="17"/>
    <n v="8"/>
    <x v="8"/>
    <x v="0"/>
  </r>
  <r>
    <x v="18"/>
    <x v="16"/>
    <n v="4.8"/>
    <x v="18"/>
    <n v="13"/>
    <x v="0"/>
    <x v="0"/>
  </r>
  <r>
    <x v="19"/>
    <x v="17"/>
    <n v="4.5999999999999996"/>
    <x v="19"/>
    <n v="14"/>
    <x v="5"/>
    <x v="1"/>
  </r>
  <r>
    <x v="19"/>
    <x v="17"/>
    <n v="4.5999999999999996"/>
    <x v="19"/>
    <n v="14"/>
    <x v="8"/>
    <x v="1"/>
  </r>
  <r>
    <x v="20"/>
    <x v="18"/>
    <n v="3.9"/>
    <x v="20"/>
    <n v="13"/>
    <x v="9"/>
    <x v="1"/>
  </r>
  <r>
    <x v="21"/>
    <x v="19"/>
    <n v="4.5999999999999996"/>
    <x v="21"/>
    <n v="9"/>
    <x v="8"/>
    <x v="0"/>
  </r>
  <r>
    <x v="22"/>
    <x v="20"/>
    <n v="4.3"/>
    <x v="22"/>
    <n v="13"/>
    <x v="9"/>
    <x v="1"/>
  </r>
  <r>
    <x v="23"/>
    <x v="21"/>
    <n v="4.5999999999999996"/>
    <x v="23"/>
    <n v="5"/>
    <x v="7"/>
    <x v="0"/>
  </r>
  <r>
    <x v="24"/>
    <x v="22"/>
    <n v="4.7"/>
    <x v="24"/>
    <n v="9"/>
    <x v="3"/>
    <x v="0"/>
  </r>
  <r>
    <x v="25"/>
    <x v="23"/>
    <n v="4.2"/>
    <x v="25"/>
    <n v="14"/>
    <x v="6"/>
    <x v="0"/>
  </r>
  <r>
    <x v="26"/>
    <x v="24"/>
    <n v="4.5999999999999996"/>
    <x v="26"/>
    <n v="5"/>
    <x v="8"/>
    <x v="0"/>
  </r>
  <r>
    <x v="27"/>
    <x v="25"/>
    <n v="4.5999999999999996"/>
    <x v="27"/>
    <n v="11"/>
    <x v="8"/>
    <x v="0"/>
  </r>
  <r>
    <x v="28"/>
    <x v="26"/>
    <n v="4.8"/>
    <x v="28"/>
    <n v="24"/>
    <x v="10"/>
    <x v="0"/>
  </r>
  <r>
    <x v="29"/>
    <x v="26"/>
    <n v="4.7"/>
    <x v="29"/>
    <n v="21"/>
    <x v="6"/>
    <x v="0"/>
  </r>
  <r>
    <x v="30"/>
    <x v="27"/>
    <n v="4.8"/>
    <x v="30"/>
    <n v="11"/>
    <x v="2"/>
    <x v="0"/>
  </r>
  <r>
    <x v="30"/>
    <x v="27"/>
    <n v="4.8"/>
    <x v="30"/>
    <n v="11"/>
    <x v="4"/>
    <x v="0"/>
  </r>
  <r>
    <x v="31"/>
    <x v="28"/>
    <n v="4.8"/>
    <x v="31"/>
    <n v="15"/>
    <x v="8"/>
    <x v="0"/>
  </r>
  <r>
    <x v="32"/>
    <x v="29"/>
    <n v="4.7"/>
    <x v="32"/>
    <n v="13"/>
    <x v="8"/>
    <x v="0"/>
  </r>
  <r>
    <x v="32"/>
    <x v="29"/>
    <n v="4.7"/>
    <x v="32"/>
    <n v="13"/>
    <x v="0"/>
    <x v="0"/>
  </r>
  <r>
    <x v="33"/>
    <x v="30"/>
    <n v="4.7"/>
    <x v="33"/>
    <n v="18"/>
    <x v="0"/>
    <x v="0"/>
  </r>
  <r>
    <x v="34"/>
    <x v="31"/>
    <n v="4.5999999999999996"/>
    <x v="34"/>
    <n v="13"/>
    <x v="7"/>
    <x v="1"/>
  </r>
  <r>
    <x v="35"/>
    <x v="21"/>
    <n v="4.5"/>
    <x v="35"/>
    <n v="8"/>
    <x v="6"/>
    <x v="0"/>
  </r>
  <r>
    <x v="36"/>
    <x v="32"/>
    <n v="4.9000000000000004"/>
    <x v="36"/>
    <n v="5"/>
    <x v="3"/>
    <x v="1"/>
  </r>
  <r>
    <x v="36"/>
    <x v="32"/>
    <n v="4.9000000000000004"/>
    <x v="36"/>
    <n v="5"/>
    <x v="4"/>
    <x v="1"/>
  </r>
  <r>
    <x v="37"/>
    <x v="33"/>
    <n v="4.8"/>
    <x v="37"/>
    <n v="0"/>
    <x v="1"/>
    <x v="1"/>
  </r>
  <r>
    <x v="38"/>
    <x v="34"/>
    <n v="4.5999999999999996"/>
    <x v="38"/>
    <n v="4"/>
    <x v="0"/>
    <x v="0"/>
  </r>
  <r>
    <x v="39"/>
    <x v="35"/>
    <n v="4.8"/>
    <x v="39"/>
    <n v="18"/>
    <x v="4"/>
    <x v="0"/>
  </r>
  <r>
    <x v="40"/>
    <x v="36"/>
    <n v="4.5"/>
    <x v="40"/>
    <n v="28"/>
    <x v="5"/>
    <x v="0"/>
  </r>
  <r>
    <x v="41"/>
    <x v="37"/>
    <n v="4.7"/>
    <x v="41"/>
    <n v="11"/>
    <x v="6"/>
    <x v="1"/>
  </r>
  <r>
    <x v="41"/>
    <x v="37"/>
    <n v="4.7"/>
    <x v="41"/>
    <n v="11"/>
    <x v="1"/>
    <x v="1"/>
  </r>
  <r>
    <x v="41"/>
    <x v="37"/>
    <n v="4.7"/>
    <x v="41"/>
    <n v="11"/>
    <x v="10"/>
    <x v="1"/>
  </r>
  <r>
    <x v="42"/>
    <x v="38"/>
    <n v="4.7"/>
    <x v="42"/>
    <n v="16"/>
    <x v="0"/>
    <x v="0"/>
  </r>
  <r>
    <x v="43"/>
    <x v="39"/>
    <n v="4.7"/>
    <x v="43"/>
    <n v="14"/>
    <x v="7"/>
    <x v="0"/>
  </r>
  <r>
    <x v="43"/>
    <x v="39"/>
    <n v="4.7"/>
    <x v="43"/>
    <n v="14"/>
    <x v="6"/>
    <x v="0"/>
  </r>
  <r>
    <x v="43"/>
    <x v="39"/>
    <n v="4.7"/>
    <x v="43"/>
    <n v="14"/>
    <x v="1"/>
    <x v="0"/>
  </r>
  <r>
    <x v="44"/>
    <x v="40"/>
    <n v="4.3"/>
    <x v="44"/>
    <n v="8"/>
    <x v="2"/>
    <x v="1"/>
  </r>
  <r>
    <x v="45"/>
    <x v="41"/>
    <n v="4.8"/>
    <x v="45"/>
    <n v="4"/>
    <x v="8"/>
    <x v="0"/>
  </r>
  <r>
    <x v="46"/>
    <x v="41"/>
    <n v="4.8"/>
    <x v="46"/>
    <n v="5"/>
    <x v="8"/>
    <x v="0"/>
  </r>
  <r>
    <x v="47"/>
    <x v="42"/>
    <n v="4.5999999999999996"/>
    <x v="47"/>
    <n v="11"/>
    <x v="6"/>
    <x v="1"/>
  </r>
  <r>
    <x v="47"/>
    <x v="42"/>
    <n v="4.5999999999999996"/>
    <x v="47"/>
    <n v="11"/>
    <x v="1"/>
    <x v="1"/>
  </r>
  <r>
    <x v="48"/>
    <x v="43"/>
    <n v="4.8"/>
    <x v="48"/>
    <n v="10"/>
    <x v="9"/>
    <x v="0"/>
  </r>
  <r>
    <x v="49"/>
    <x v="44"/>
    <n v="4.4000000000000004"/>
    <x v="49"/>
    <n v="13"/>
    <x v="9"/>
    <x v="0"/>
  </r>
  <r>
    <x v="50"/>
    <x v="45"/>
    <n v="4.5999999999999996"/>
    <x v="50"/>
    <n v="4"/>
    <x v="7"/>
    <x v="1"/>
  </r>
  <r>
    <x v="51"/>
    <x v="45"/>
    <n v="4.3"/>
    <x v="51"/>
    <n v="8"/>
    <x v="6"/>
    <x v="1"/>
  </r>
  <r>
    <x v="52"/>
    <x v="45"/>
    <n v="4.2"/>
    <x v="52"/>
    <n v="4"/>
    <x v="1"/>
    <x v="1"/>
  </r>
  <r>
    <x v="53"/>
    <x v="46"/>
    <n v="4.8"/>
    <x v="53"/>
    <n v="5"/>
    <x v="8"/>
    <x v="1"/>
  </r>
  <r>
    <x v="53"/>
    <x v="46"/>
    <n v="4.8"/>
    <x v="53"/>
    <n v="5"/>
    <x v="0"/>
    <x v="1"/>
  </r>
  <r>
    <x v="53"/>
    <x v="46"/>
    <n v="4.8"/>
    <x v="53"/>
    <n v="5"/>
    <x v="3"/>
    <x v="1"/>
  </r>
  <r>
    <x v="53"/>
    <x v="46"/>
    <n v="4.8"/>
    <x v="53"/>
    <n v="5"/>
    <x v="2"/>
    <x v="1"/>
  </r>
  <r>
    <x v="54"/>
    <x v="47"/>
    <n v="4.5999999999999996"/>
    <x v="54"/>
    <n v="17"/>
    <x v="6"/>
    <x v="0"/>
  </r>
  <r>
    <x v="55"/>
    <x v="48"/>
    <n v="4.5999999999999996"/>
    <x v="55"/>
    <n v="15"/>
    <x v="6"/>
    <x v="0"/>
  </r>
  <r>
    <x v="56"/>
    <x v="49"/>
    <n v="4.5"/>
    <x v="56"/>
    <n v="105"/>
    <x v="9"/>
    <x v="0"/>
  </r>
  <r>
    <x v="56"/>
    <x v="49"/>
    <n v="4.5"/>
    <x v="56"/>
    <n v="105"/>
    <x v="5"/>
    <x v="0"/>
  </r>
  <r>
    <x v="57"/>
    <x v="33"/>
    <n v="4.8"/>
    <x v="57"/>
    <n v="0"/>
    <x v="9"/>
    <x v="1"/>
  </r>
  <r>
    <x v="58"/>
    <x v="33"/>
    <n v="4.8"/>
    <x v="58"/>
    <n v="15"/>
    <x v="7"/>
    <x v="1"/>
  </r>
  <r>
    <x v="59"/>
    <x v="33"/>
    <n v="4.8"/>
    <x v="59"/>
    <n v="22"/>
    <x v="5"/>
    <x v="1"/>
  </r>
  <r>
    <x v="60"/>
    <x v="50"/>
    <n v="4.5999999999999996"/>
    <x v="60"/>
    <n v="5"/>
    <x v="4"/>
    <x v="0"/>
  </r>
  <r>
    <x v="61"/>
    <x v="18"/>
    <n v="4.5999999999999996"/>
    <x v="61"/>
    <n v="15"/>
    <x v="9"/>
    <x v="1"/>
  </r>
  <r>
    <x v="61"/>
    <x v="18"/>
    <n v="4.5999999999999996"/>
    <x v="61"/>
    <n v="15"/>
    <x v="5"/>
    <x v="1"/>
  </r>
  <r>
    <x v="62"/>
    <x v="18"/>
    <n v="4.5"/>
    <x v="62"/>
    <n v="6"/>
    <x v="5"/>
    <x v="1"/>
  </r>
  <r>
    <x v="63"/>
    <x v="51"/>
    <n v="4.5999999999999996"/>
    <x v="63"/>
    <n v="6"/>
    <x v="7"/>
    <x v="0"/>
  </r>
  <r>
    <x v="64"/>
    <x v="1"/>
    <n v="4.7"/>
    <x v="64"/>
    <n v="13"/>
    <x v="9"/>
    <x v="1"/>
  </r>
  <r>
    <x v="65"/>
    <x v="33"/>
    <n v="4.8"/>
    <x v="65"/>
    <n v="12"/>
    <x v="7"/>
    <x v="1"/>
  </r>
  <r>
    <x v="66"/>
    <x v="52"/>
    <n v="4.9000000000000004"/>
    <x v="66"/>
    <n v="6"/>
    <x v="2"/>
    <x v="1"/>
  </r>
  <r>
    <x v="67"/>
    <x v="52"/>
    <n v="4.9000000000000004"/>
    <x v="67"/>
    <n v="8"/>
    <x v="3"/>
    <x v="1"/>
  </r>
  <r>
    <x v="68"/>
    <x v="52"/>
    <n v="4.9000000000000004"/>
    <x v="68"/>
    <n v="4"/>
    <x v="2"/>
    <x v="1"/>
  </r>
  <r>
    <x v="68"/>
    <x v="52"/>
    <n v="4.9000000000000004"/>
    <x v="68"/>
    <n v="4"/>
    <x v="4"/>
    <x v="1"/>
  </r>
  <r>
    <x v="69"/>
    <x v="52"/>
    <n v="4.9000000000000004"/>
    <x v="69"/>
    <n v="8"/>
    <x v="4"/>
    <x v="1"/>
  </r>
  <r>
    <x v="70"/>
    <x v="52"/>
    <n v="4.9000000000000004"/>
    <x v="70"/>
    <n v="8"/>
    <x v="4"/>
    <x v="1"/>
  </r>
  <r>
    <x v="71"/>
    <x v="52"/>
    <n v="4.9000000000000004"/>
    <x v="71"/>
    <n v="6"/>
    <x v="2"/>
    <x v="1"/>
  </r>
  <r>
    <x v="72"/>
    <x v="33"/>
    <n v="4.8"/>
    <x v="72"/>
    <n v="20"/>
    <x v="0"/>
    <x v="1"/>
  </r>
  <r>
    <x v="73"/>
    <x v="53"/>
    <n v="4.5999999999999996"/>
    <x v="73"/>
    <n v="5"/>
    <x v="8"/>
    <x v="0"/>
  </r>
  <r>
    <x v="74"/>
    <x v="54"/>
    <n v="4.5"/>
    <x v="74"/>
    <n v="16"/>
    <x v="6"/>
    <x v="0"/>
  </r>
  <r>
    <x v="75"/>
    <x v="55"/>
    <n v="4.5"/>
    <x v="75"/>
    <n v="1"/>
    <x v="7"/>
    <x v="0"/>
  </r>
  <r>
    <x v="76"/>
    <x v="55"/>
    <n v="4.3"/>
    <x v="76"/>
    <n v="14"/>
    <x v="7"/>
    <x v="0"/>
  </r>
  <r>
    <x v="77"/>
    <x v="56"/>
    <n v="4.5"/>
    <x v="77"/>
    <n v="9"/>
    <x v="1"/>
    <x v="0"/>
  </r>
  <r>
    <x v="77"/>
    <x v="56"/>
    <n v="4.5"/>
    <x v="77"/>
    <n v="9"/>
    <x v="10"/>
    <x v="0"/>
  </r>
  <r>
    <x v="78"/>
    <x v="31"/>
    <n v="4.7"/>
    <x v="78"/>
    <n v="7"/>
    <x v="7"/>
    <x v="1"/>
  </r>
  <r>
    <x v="79"/>
    <x v="31"/>
    <n v="4.7"/>
    <x v="78"/>
    <n v="18"/>
    <x v="7"/>
    <x v="1"/>
  </r>
  <r>
    <x v="80"/>
    <x v="57"/>
    <n v="4.7"/>
    <x v="79"/>
    <n v="15"/>
    <x v="2"/>
    <x v="0"/>
  </r>
  <r>
    <x v="80"/>
    <x v="57"/>
    <n v="4.7"/>
    <x v="79"/>
    <n v="15"/>
    <x v="4"/>
    <x v="0"/>
  </r>
  <r>
    <x v="81"/>
    <x v="58"/>
    <n v="4.7"/>
    <x v="80"/>
    <n v="9"/>
    <x v="8"/>
    <x v="0"/>
  </r>
  <r>
    <x v="82"/>
    <x v="59"/>
    <n v="4.5999999999999996"/>
    <x v="81"/>
    <n v="8"/>
    <x v="0"/>
    <x v="1"/>
  </r>
  <r>
    <x v="82"/>
    <x v="59"/>
    <n v="4.5999999999999996"/>
    <x v="81"/>
    <n v="8"/>
    <x v="2"/>
    <x v="1"/>
  </r>
  <r>
    <x v="83"/>
    <x v="60"/>
    <n v="4.7"/>
    <x v="82"/>
    <n v="15"/>
    <x v="0"/>
    <x v="1"/>
  </r>
  <r>
    <x v="84"/>
    <x v="61"/>
    <n v="4.4000000000000004"/>
    <x v="83"/>
    <n v="2"/>
    <x v="2"/>
    <x v="0"/>
  </r>
  <r>
    <x v="85"/>
    <x v="62"/>
    <n v="4.4000000000000004"/>
    <x v="84"/>
    <n v="7"/>
    <x v="10"/>
    <x v="1"/>
  </r>
  <r>
    <x v="86"/>
    <x v="62"/>
    <n v="4.5"/>
    <x v="85"/>
    <n v="11"/>
    <x v="10"/>
    <x v="1"/>
  </r>
  <r>
    <x v="87"/>
    <x v="62"/>
    <n v="3.8"/>
    <x v="86"/>
    <n v="14"/>
    <x v="10"/>
    <x v="1"/>
  </r>
  <r>
    <x v="87"/>
    <x v="62"/>
    <n v="3.8"/>
    <x v="86"/>
    <n v="14"/>
    <x v="9"/>
    <x v="1"/>
  </r>
  <r>
    <x v="88"/>
    <x v="62"/>
    <n v="4.5"/>
    <x v="87"/>
    <n v="32"/>
    <x v="10"/>
    <x v="1"/>
  </r>
  <r>
    <x v="89"/>
    <x v="63"/>
    <n v="4.2"/>
    <x v="88"/>
    <n v="6"/>
    <x v="2"/>
    <x v="0"/>
  </r>
  <r>
    <x v="90"/>
    <x v="64"/>
    <n v="4.7"/>
    <x v="89"/>
    <n v="4"/>
    <x v="5"/>
    <x v="0"/>
  </r>
  <r>
    <x v="90"/>
    <x v="64"/>
    <n v="4.7"/>
    <x v="89"/>
    <n v="4"/>
    <x v="8"/>
    <x v="0"/>
  </r>
  <r>
    <x v="90"/>
    <x v="64"/>
    <n v="4.7"/>
    <x v="89"/>
    <n v="4"/>
    <x v="0"/>
    <x v="0"/>
  </r>
  <r>
    <x v="90"/>
    <x v="64"/>
    <n v="4.7"/>
    <x v="89"/>
    <n v="4"/>
    <x v="3"/>
    <x v="0"/>
  </r>
  <r>
    <x v="90"/>
    <x v="64"/>
    <n v="4.7"/>
    <x v="89"/>
    <n v="4"/>
    <x v="2"/>
    <x v="0"/>
  </r>
  <r>
    <x v="91"/>
    <x v="65"/>
    <n v="4.4000000000000004"/>
    <x v="90"/>
    <n v="9"/>
    <x v="6"/>
    <x v="0"/>
  </r>
  <r>
    <x v="92"/>
    <x v="66"/>
    <n v="4.7"/>
    <x v="91"/>
    <n v="0"/>
    <x v="5"/>
    <x v="1"/>
  </r>
  <r>
    <x v="93"/>
    <x v="67"/>
    <n v="4.4000000000000004"/>
    <x v="92"/>
    <n v="9"/>
    <x v="6"/>
    <x v="0"/>
  </r>
  <r>
    <x v="94"/>
    <x v="68"/>
    <n v="4.5999999999999996"/>
    <x v="93"/>
    <n v="5"/>
    <x v="1"/>
    <x v="1"/>
  </r>
  <r>
    <x v="94"/>
    <x v="68"/>
    <n v="4.5999999999999996"/>
    <x v="93"/>
    <n v="5"/>
    <x v="10"/>
    <x v="1"/>
  </r>
  <r>
    <x v="94"/>
    <x v="68"/>
    <n v="4.5999999999999996"/>
    <x v="93"/>
    <n v="5"/>
    <x v="9"/>
    <x v="1"/>
  </r>
  <r>
    <x v="95"/>
    <x v="69"/>
    <n v="4.5"/>
    <x v="94"/>
    <n v="20"/>
    <x v="6"/>
    <x v="0"/>
  </r>
  <r>
    <x v="96"/>
    <x v="70"/>
    <n v="4.5999999999999996"/>
    <x v="95"/>
    <n v="16"/>
    <x v="9"/>
    <x v="0"/>
  </r>
  <r>
    <x v="97"/>
    <x v="71"/>
    <n v="4.8"/>
    <x v="96"/>
    <n v="4"/>
    <x v="8"/>
    <x v="1"/>
  </r>
  <r>
    <x v="97"/>
    <x v="71"/>
    <n v="4.8"/>
    <x v="96"/>
    <n v="4"/>
    <x v="0"/>
    <x v="1"/>
  </r>
  <r>
    <x v="97"/>
    <x v="71"/>
    <n v="4.8"/>
    <x v="96"/>
    <n v="4"/>
    <x v="3"/>
    <x v="1"/>
  </r>
  <r>
    <x v="97"/>
    <x v="71"/>
    <n v="4.8"/>
    <x v="96"/>
    <n v="4"/>
    <x v="2"/>
    <x v="1"/>
  </r>
  <r>
    <x v="97"/>
    <x v="71"/>
    <n v="4.8"/>
    <x v="96"/>
    <n v="4"/>
    <x v="4"/>
    <x v="1"/>
  </r>
  <r>
    <x v="98"/>
    <x v="72"/>
    <n v="4.5999999999999996"/>
    <x v="97"/>
    <n v="12"/>
    <x v="4"/>
    <x v="0"/>
  </r>
  <r>
    <x v="99"/>
    <x v="72"/>
    <n v="4.5999999999999996"/>
    <x v="98"/>
    <n v="12"/>
    <x v="2"/>
    <x v="0"/>
  </r>
  <r>
    <x v="99"/>
    <x v="72"/>
    <n v="4.5999999999999996"/>
    <x v="98"/>
    <n v="12"/>
    <x v="4"/>
    <x v="0"/>
  </r>
  <r>
    <x v="100"/>
    <x v="21"/>
    <n v="4.5999999999999996"/>
    <x v="99"/>
    <n v="11"/>
    <x v="7"/>
    <x v="0"/>
  </r>
  <r>
    <x v="101"/>
    <x v="73"/>
    <n v="3.6"/>
    <x v="100"/>
    <n v="19"/>
    <x v="8"/>
    <x v="1"/>
  </r>
  <r>
    <x v="102"/>
    <x v="74"/>
    <n v="4.8"/>
    <x v="101"/>
    <n v="9"/>
    <x v="1"/>
    <x v="1"/>
  </r>
  <r>
    <x v="103"/>
    <x v="75"/>
    <n v="4.5999999999999996"/>
    <x v="102"/>
    <n v="6"/>
    <x v="7"/>
    <x v="0"/>
  </r>
  <r>
    <x v="104"/>
    <x v="76"/>
    <n v="4"/>
    <x v="103"/>
    <n v="10"/>
    <x v="10"/>
    <x v="1"/>
  </r>
  <r>
    <x v="104"/>
    <x v="76"/>
    <n v="4"/>
    <x v="103"/>
    <n v="10"/>
    <x v="9"/>
    <x v="1"/>
  </r>
  <r>
    <x v="104"/>
    <x v="76"/>
    <n v="4"/>
    <x v="103"/>
    <n v="9"/>
    <x v="5"/>
    <x v="1"/>
  </r>
  <r>
    <x v="105"/>
    <x v="77"/>
    <n v="4.5999999999999996"/>
    <x v="104"/>
    <n v="6"/>
    <x v="4"/>
    <x v="0"/>
  </r>
  <r>
    <x v="106"/>
    <x v="78"/>
    <n v="4.5"/>
    <x v="105"/>
    <n v="14"/>
    <x v="7"/>
    <x v="0"/>
  </r>
  <r>
    <x v="106"/>
    <x v="78"/>
    <n v="4.5"/>
    <x v="105"/>
    <n v="14"/>
    <x v="6"/>
    <x v="0"/>
  </r>
  <r>
    <x v="106"/>
    <x v="78"/>
    <n v="4.5"/>
    <x v="105"/>
    <n v="14"/>
    <x v="1"/>
    <x v="0"/>
  </r>
  <r>
    <x v="106"/>
    <x v="78"/>
    <n v="4.5"/>
    <x v="105"/>
    <n v="14"/>
    <x v="10"/>
    <x v="0"/>
  </r>
  <r>
    <x v="107"/>
    <x v="79"/>
    <n v="4.8"/>
    <x v="106"/>
    <n v="5"/>
    <x v="3"/>
    <x v="1"/>
  </r>
  <r>
    <x v="107"/>
    <x v="79"/>
    <n v="4.8"/>
    <x v="106"/>
    <n v="5"/>
    <x v="2"/>
    <x v="1"/>
  </r>
  <r>
    <x v="107"/>
    <x v="79"/>
    <n v="4.8"/>
    <x v="106"/>
    <n v="5"/>
    <x v="4"/>
    <x v="1"/>
  </r>
  <r>
    <x v="108"/>
    <x v="80"/>
    <n v="4.9000000000000004"/>
    <x v="107"/>
    <n v="7"/>
    <x v="10"/>
    <x v="1"/>
  </r>
  <r>
    <x v="108"/>
    <x v="80"/>
    <n v="4.9000000000000004"/>
    <x v="107"/>
    <n v="7"/>
    <x v="9"/>
    <x v="1"/>
  </r>
  <r>
    <x v="109"/>
    <x v="81"/>
    <n v="4.5999999999999996"/>
    <x v="108"/>
    <n v="10"/>
    <x v="5"/>
    <x v="0"/>
  </r>
  <r>
    <x v="110"/>
    <x v="62"/>
    <n v="4.4000000000000004"/>
    <x v="109"/>
    <n v="14"/>
    <x v="8"/>
    <x v="1"/>
  </r>
  <r>
    <x v="111"/>
    <x v="82"/>
    <n v="4.8"/>
    <x v="110"/>
    <n v="7"/>
    <x v="4"/>
    <x v="0"/>
  </r>
  <r>
    <x v="112"/>
    <x v="83"/>
    <n v="4.9000000000000004"/>
    <x v="111"/>
    <n v="54"/>
    <x v="0"/>
    <x v="0"/>
  </r>
  <r>
    <x v="113"/>
    <x v="84"/>
    <n v="4.8"/>
    <x v="112"/>
    <n v="11"/>
    <x v="9"/>
    <x v="0"/>
  </r>
  <r>
    <x v="114"/>
    <x v="60"/>
    <n v="4.9000000000000004"/>
    <x v="113"/>
    <n v="30"/>
    <x v="0"/>
    <x v="1"/>
  </r>
  <r>
    <x v="115"/>
    <x v="60"/>
    <n v="4"/>
    <x v="114"/>
    <n v="12"/>
    <x v="0"/>
    <x v="1"/>
  </r>
  <r>
    <x v="116"/>
    <x v="85"/>
    <n v="4.9000000000000004"/>
    <x v="115"/>
    <n v="18"/>
    <x v="4"/>
    <x v="1"/>
  </r>
  <r>
    <x v="117"/>
    <x v="60"/>
    <n v="4.9000000000000004"/>
    <x v="116"/>
    <n v="30"/>
    <x v="3"/>
    <x v="1"/>
  </r>
  <r>
    <x v="118"/>
    <x v="60"/>
    <n v="4.9000000000000004"/>
    <x v="117"/>
    <n v="22"/>
    <x v="0"/>
    <x v="1"/>
  </r>
  <r>
    <x v="119"/>
    <x v="86"/>
    <n v="4.7"/>
    <x v="118"/>
    <n v="9"/>
    <x v="8"/>
    <x v="0"/>
  </r>
  <r>
    <x v="120"/>
    <x v="85"/>
    <n v="4.8"/>
    <x v="119"/>
    <n v="52"/>
    <x v="0"/>
    <x v="1"/>
  </r>
  <r>
    <x v="121"/>
    <x v="87"/>
    <n v="4.8"/>
    <x v="120"/>
    <n v="4"/>
    <x v="7"/>
    <x v="0"/>
  </r>
  <r>
    <x v="122"/>
    <x v="88"/>
    <n v="4.7"/>
    <x v="121"/>
    <n v="10"/>
    <x v="1"/>
    <x v="0"/>
  </r>
  <r>
    <x v="122"/>
    <x v="88"/>
    <n v="4.7"/>
    <x v="121"/>
    <n v="10"/>
    <x v="10"/>
    <x v="0"/>
  </r>
  <r>
    <x v="123"/>
    <x v="89"/>
    <n v="4.4000000000000004"/>
    <x v="122"/>
    <n v="14"/>
    <x v="0"/>
    <x v="0"/>
  </r>
  <r>
    <x v="123"/>
    <x v="89"/>
    <n v="4.4000000000000004"/>
    <x v="122"/>
    <n v="14"/>
    <x v="3"/>
    <x v="0"/>
  </r>
  <r>
    <x v="124"/>
    <x v="90"/>
    <n v="4.8"/>
    <x v="123"/>
    <n v="22"/>
    <x v="2"/>
    <x v="0"/>
  </r>
  <r>
    <x v="125"/>
    <x v="91"/>
    <n v="4.7"/>
    <x v="124"/>
    <n v="11"/>
    <x v="5"/>
    <x v="0"/>
  </r>
  <r>
    <x v="125"/>
    <x v="91"/>
    <n v="4.7"/>
    <x v="124"/>
    <n v="11"/>
    <x v="8"/>
    <x v="0"/>
  </r>
  <r>
    <x v="125"/>
    <x v="91"/>
    <n v="4.7"/>
    <x v="124"/>
    <n v="11"/>
    <x v="0"/>
    <x v="0"/>
  </r>
  <r>
    <x v="125"/>
    <x v="91"/>
    <n v="4.7"/>
    <x v="124"/>
    <n v="11"/>
    <x v="3"/>
    <x v="0"/>
  </r>
  <r>
    <x v="125"/>
    <x v="91"/>
    <n v="4.7"/>
    <x v="124"/>
    <n v="11"/>
    <x v="2"/>
    <x v="0"/>
  </r>
  <r>
    <x v="126"/>
    <x v="92"/>
    <n v="4.3"/>
    <x v="125"/>
    <n v="16"/>
    <x v="4"/>
    <x v="0"/>
  </r>
  <r>
    <x v="127"/>
    <x v="93"/>
    <n v="4.8"/>
    <x v="126"/>
    <n v="15"/>
    <x v="9"/>
    <x v="0"/>
  </r>
  <r>
    <x v="127"/>
    <x v="93"/>
    <n v="4.8"/>
    <x v="126"/>
    <n v="15"/>
    <x v="5"/>
    <x v="0"/>
  </r>
  <r>
    <x v="128"/>
    <x v="93"/>
    <n v="4.9000000000000004"/>
    <x v="127"/>
    <n v="17"/>
    <x v="8"/>
    <x v="0"/>
  </r>
  <r>
    <x v="129"/>
    <x v="94"/>
    <n v="4.7"/>
    <x v="128"/>
    <n v="17"/>
    <x v="9"/>
    <x v="0"/>
  </r>
  <r>
    <x v="130"/>
    <x v="95"/>
    <n v="4.8"/>
    <x v="129"/>
    <n v="7"/>
    <x v="4"/>
    <x v="0"/>
  </r>
  <r>
    <x v="131"/>
    <x v="96"/>
    <n v="4.5999999999999996"/>
    <x v="130"/>
    <n v="7"/>
    <x v="7"/>
    <x v="1"/>
  </r>
  <r>
    <x v="132"/>
    <x v="97"/>
    <n v="4.8"/>
    <x v="131"/>
    <n v="4"/>
    <x v="3"/>
    <x v="1"/>
  </r>
  <r>
    <x v="132"/>
    <x v="97"/>
    <n v="4.8"/>
    <x v="131"/>
    <n v="4"/>
    <x v="4"/>
    <x v="1"/>
  </r>
  <r>
    <x v="133"/>
    <x v="98"/>
    <n v="4.3"/>
    <x v="132"/>
    <n v="9"/>
    <x v="5"/>
    <x v="1"/>
  </r>
  <r>
    <x v="134"/>
    <x v="99"/>
    <n v="4.4000000000000004"/>
    <x v="133"/>
    <n v="21"/>
    <x v="1"/>
    <x v="0"/>
  </r>
  <r>
    <x v="135"/>
    <x v="100"/>
    <n v="4.0999999999999996"/>
    <x v="134"/>
    <n v="14"/>
    <x v="9"/>
    <x v="1"/>
  </r>
  <r>
    <x v="136"/>
    <x v="101"/>
    <n v="4.5999999999999996"/>
    <x v="135"/>
    <n v="20"/>
    <x v="1"/>
    <x v="1"/>
  </r>
  <r>
    <x v="137"/>
    <x v="102"/>
    <n v="4.4000000000000004"/>
    <x v="136"/>
    <n v="13"/>
    <x v="4"/>
    <x v="0"/>
  </r>
  <r>
    <x v="137"/>
    <x v="102"/>
    <n v="4.4000000000000004"/>
    <x v="136"/>
    <n v="13"/>
    <x v="2"/>
    <x v="0"/>
  </r>
  <r>
    <x v="138"/>
    <x v="103"/>
    <n v="4.8"/>
    <x v="137"/>
    <n v="12"/>
    <x v="4"/>
    <x v="0"/>
  </r>
  <r>
    <x v="139"/>
    <x v="104"/>
    <n v="4.9000000000000004"/>
    <x v="138"/>
    <n v="8"/>
    <x v="1"/>
    <x v="0"/>
  </r>
  <r>
    <x v="139"/>
    <x v="104"/>
    <n v="4.9000000000000004"/>
    <x v="138"/>
    <n v="8"/>
    <x v="10"/>
    <x v="0"/>
  </r>
  <r>
    <x v="139"/>
    <x v="104"/>
    <n v="4.9000000000000004"/>
    <x v="138"/>
    <n v="8"/>
    <x v="9"/>
    <x v="0"/>
  </r>
  <r>
    <x v="139"/>
    <x v="104"/>
    <n v="4.9000000000000004"/>
    <x v="138"/>
    <n v="8"/>
    <x v="5"/>
    <x v="0"/>
  </r>
  <r>
    <x v="139"/>
    <x v="104"/>
    <n v="4.9000000000000004"/>
    <x v="138"/>
    <n v="8"/>
    <x v="8"/>
    <x v="0"/>
  </r>
  <r>
    <x v="139"/>
    <x v="104"/>
    <n v="4.9000000000000004"/>
    <x v="138"/>
    <n v="8"/>
    <x v="0"/>
    <x v="0"/>
  </r>
  <r>
    <x v="140"/>
    <x v="66"/>
    <n v="4.5999999999999996"/>
    <x v="139"/>
    <n v="0"/>
    <x v="5"/>
    <x v="1"/>
  </r>
  <r>
    <x v="141"/>
    <x v="1"/>
    <n v="4.5"/>
    <x v="140"/>
    <n v="12"/>
    <x v="9"/>
    <x v="1"/>
  </r>
  <r>
    <x v="142"/>
    <x v="105"/>
    <n v="4.5999999999999996"/>
    <x v="141"/>
    <n v="17"/>
    <x v="3"/>
    <x v="0"/>
  </r>
  <r>
    <x v="143"/>
    <x v="106"/>
    <n v="4.5"/>
    <x v="142"/>
    <n v="12"/>
    <x v="9"/>
    <x v="0"/>
  </r>
  <r>
    <x v="144"/>
    <x v="106"/>
    <n v="4.5999999999999996"/>
    <x v="143"/>
    <n v="25"/>
    <x v="10"/>
    <x v="0"/>
  </r>
  <r>
    <x v="145"/>
    <x v="106"/>
    <n v="4.7"/>
    <x v="144"/>
    <n v="10"/>
    <x v="1"/>
    <x v="0"/>
  </r>
  <r>
    <x v="145"/>
    <x v="106"/>
    <n v="4.7"/>
    <x v="144"/>
    <n v="10"/>
    <x v="10"/>
    <x v="0"/>
  </r>
  <r>
    <x v="146"/>
    <x v="106"/>
    <n v="4.5999999999999996"/>
    <x v="145"/>
    <n v="6"/>
    <x v="5"/>
    <x v="0"/>
  </r>
  <r>
    <x v="147"/>
    <x v="106"/>
    <n v="4.5999999999999996"/>
    <x v="146"/>
    <n v="5"/>
    <x v="8"/>
    <x v="0"/>
  </r>
  <r>
    <x v="148"/>
    <x v="106"/>
    <n v="4.8"/>
    <x v="147"/>
    <n v="6"/>
    <x v="0"/>
    <x v="0"/>
  </r>
  <r>
    <x v="149"/>
    <x v="107"/>
    <n v="4.8"/>
    <x v="148"/>
    <n v="8"/>
    <x v="2"/>
    <x v="0"/>
  </r>
  <r>
    <x v="150"/>
    <x v="108"/>
    <n v="4.5"/>
    <x v="149"/>
    <n v="4"/>
    <x v="9"/>
    <x v="0"/>
  </r>
  <r>
    <x v="150"/>
    <x v="108"/>
    <n v="4.5"/>
    <x v="149"/>
    <n v="4"/>
    <x v="5"/>
    <x v="0"/>
  </r>
  <r>
    <x v="150"/>
    <x v="108"/>
    <n v="4.5"/>
    <x v="149"/>
    <n v="4"/>
    <x v="8"/>
    <x v="0"/>
  </r>
  <r>
    <x v="151"/>
    <x v="109"/>
    <n v="4.9000000000000004"/>
    <x v="150"/>
    <n v="13"/>
    <x v="2"/>
    <x v="1"/>
  </r>
  <r>
    <x v="152"/>
    <x v="108"/>
    <n v="4.5999999999999996"/>
    <x v="151"/>
    <n v="4"/>
    <x v="9"/>
    <x v="0"/>
  </r>
  <r>
    <x v="152"/>
    <x v="108"/>
    <n v="4.5999999999999996"/>
    <x v="151"/>
    <n v="4"/>
    <x v="5"/>
    <x v="0"/>
  </r>
  <r>
    <x v="152"/>
    <x v="108"/>
    <n v="4.5999999999999996"/>
    <x v="151"/>
    <n v="4"/>
    <x v="8"/>
    <x v="0"/>
  </r>
  <r>
    <x v="152"/>
    <x v="108"/>
    <n v="4.5999999999999996"/>
    <x v="151"/>
    <n v="4"/>
    <x v="0"/>
    <x v="0"/>
  </r>
  <r>
    <x v="152"/>
    <x v="108"/>
    <n v="4.5999999999999996"/>
    <x v="151"/>
    <n v="4"/>
    <x v="3"/>
    <x v="0"/>
  </r>
  <r>
    <x v="153"/>
    <x v="110"/>
    <n v="4.5"/>
    <x v="152"/>
    <n v="13"/>
    <x v="9"/>
    <x v="0"/>
  </r>
  <r>
    <x v="154"/>
    <x v="111"/>
    <n v="4.5"/>
    <x v="153"/>
    <n v="21"/>
    <x v="3"/>
    <x v="0"/>
  </r>
  <r>
    <x v="155"/>
    <x v="112"/>
    <n v="4.4000000000000004"/>
    <x v="154"/>
    <n v="6"/>
    <x v="2"/>
    <x v="0"/>
  </r>
  <r>
    <x v="156"/>
    <x v="113"/>
    <n v="4.8"/>
    <x v="155"/>
    <n v="15"/>
    <x v="7"/>
    <x v="0"/>
  </r>
  <r>
    <x v="157"/>
    <x v="114"/>
    <n v="4.5"/>
    <x v="156"/>
    <n v="18"/>
    <x v="6"/>
    <x v="0"/>
  </r>
  <r>
    <x v="158"/>
    <x v="115"/>
    <n v="4.0999999999999996"/>
    <x v="157"/>
    <n v="10"/>
    <x v="6"/>
    <x v="1"/>
  </r>
  <r>
    <x v="159"/>
    <x v="116"/>
    <n v="4.9000000000000004"/>
    <x v="158"/>
    <n v="0"/>
    <x v="5"/>
    <x v="1"/>
  </r>
  <r>
    <x v="160"/>
    <x v="117"/>
    <n v="4.5"/>
    <x v="159"/>
    <n v="12"/>
    <x v="2"/>
    <x v="1"/>
  </r>
  <r>
    <x v="161"/>
    <x v="118"/>
    <n v="4.5"/>
    <x v="160"/>
    <n v="7"/>
    <x v="5"/>
    <x v="1"/>
  </r>
  <r>
    <x v="162"/>
    <x v="119"/>
    <n v="4.2"/>
    <x v="161"/>
    <n v="13"/>
    <x v="1"/>
    <x v="0"/>
  </r>
  <r>
    <x v="163"/>
    <x v="120"/>
    <n v="4.8"/>
    <x v="162"/>
    <n v="5"/>
    <x v="5"/>
    <x v="1"/>
  </r>
  <r>
    <x v="163"/>
    <x v="120"/>
    <n v="4.8"/>
    <x v="162"/>
    <n v="5"/>
    <x v="8"/>
    <x v="1"/>
  </r>
  <r>
    <x v="164"/>
    <x v="90"/>
    <n v="4.8"/>
    <x v="163"/>
    <n v="16"/>
    <x v="2"/>
    <x v="0"/>
  </r>
  <r>
    <x v="165"/>
    <x v="26"/>
    <n v="4.5"/>
    <x v="164"/>
    <n v="20"/>
    <x v="5"/>
    <x v="0"/>
  </r>
  <r>
    <x v="166"/>
    <x v="121"/>
    <n v="4.7"/>
    <x v="165"/>
    <n v="11"/>
    <x v="3"/>
    <x v="0"/>
  </r>
  <r>
    <x v="167"/>
    <x v="122"/>
    <n v="4.8"/>
    <x v="166"/>
    <n v="27"/>
    <x v="7"/>
    <x v="0"/>
  </r>
  <r>
    <x v="168"/>
    <x v="123"/>
    <n v="4.7"/>
    <x v="167"/>
    <n v="8"/>
    <x v="0"/>
    <x v="0"/>
  </r>
  <r>
    <x v="168"/>
    <x v="123"/>
    <n v="4.7"/>
    <x v="167"/>
    <n v="8"/>
    <x v="3"/>
    <x v="0"/>
  </r>
  <r>
    <x v="168"/>
    <x v="123"/>
    <n v="4.7"/>
    <x v="167"/>
    <n v="8"/>
    <x v="2"/>
    <x v="0"/>
  </r>
  <r>
    <x v="169"/>
    <x v="124"/>
    <n v="4.4000000000000004"/>
    <x v="168"/>
    <n v="6"/>
    <x v="3"/>
    <x v="0"/>
  </r>
  <r>
    <x v="170"/>
    <x v="125"/>
    <n v="4.5999999999999996"/>
    <x v="169"/>
    <n v="10"/>
    <x v="5"/>
    <x v="0"/>
  </r>
  <r>
    <x v="170"/>
    <x v="125"/>
    <n v="4.5999999999999996"/>
    <x v="169"/>
    <n v="10"/>
    <x v="8"/>
    <x v="0"/>
  </r>
  <r>
    <x v="170"/>
    <x v="125"/>
    <n v="4.5999999999999996"/>
    <x v="169"/>
    <n v="10"/>
    <x v="0"/>
    <x v="0"/>
  </r>
  <r>
    <x v="171"/>
    <x v="37"/>
    <n v="4.5"/>
    <x v="170"/>
    <n v="8"/>
    <x v="6"/>
    <x v="1"/>
  </r>
  <r>
    <x v="171"/>
    <x v="37"/>
    <n v="4.5"/>
    <x v="170"/>
    <n v="8"/>
    <x v="1"/>
    <x v="1"/>
  </r>
  <r>
    <x v="171"/>
    <x v="37"/>
    <n v="4.5"/>
    <x v="170"/>
    <n v="8"/>
    <x v="10"/>
    <x v="1"/>
  </r>
  <r>
    <x v="172"/>
    <x v="126"/>
    <n v="4.8"/>
    <x v="171"/>
    <n v="16"/>
    <x v="4"/>
    <x v="0"/>
  </r>
  <r>
    <x v="173"/>
    <x v="127"/>
    <n v="4.8"/>
    <x v="172"/>
    <n v="11"/>
    <x v="4"/>
    <x v="0"/>
  </r>
  <r>
    <x v="174"/>
    <x v="31"/>
    <n v="4.5999999999999996"/>
    <x v="173"/>
    <n v="10"/>
    <x v="7"/>
    <x v="1"/>
  </r>
  <r>
    <x v="175"/>
    <x v="128"/>
    <n v="4.7"/>
    <x v="174"/>
    <n v="9"/>
    <x v="0"/>
    <x v="0"/>
  </r>
  <r>
    <x v="176"/>
    <x v="129"/>
    <n v="4.5999999999999996"/>
    <x v="175"/>
    <n v="14"/>
    <x v="10"/>
    <x v="0"/>
  </r>
  <r>
    <x v="177"/>
    <x v="130"/>
    <n v="4.9000000000000004"/>
    <x v="176"/>
    <n v="22"/>
    <x v="3"/>
    <x v="0"/>
  </r>
  <r>
    <x v="178"/>
    <x v="131"/>
    <n v="4.9000000000000004"/>
    <x v="177"/>
    <n v="8"/>
    <x v="10"/>
    <x v="1"/>
  </r>
  <r>
    <x v="178"/>
    <x v="131"/>
    <n v="4.9000000000000004"/>
    <x v="177"/>
    <n v="8"/>
    <x v="9"/>
    <x v="1"/>
  </r>
  <r>
    <x v="178"/>
    <x v="131"/>
    <n v="4.9000000000000004"/>
    <x v="177"/>
    <n v="8"/>
    <x v="5"/>
    <x v="1"/>
  </r>
  <r>
    <x v="178"/>
    <x v="131"/>
    <n v="4.9000000000000004"/>
    <x v="177"/>
    <n v="8"/>
    <x v="8"/>
    <x v="1"/>
  </r>
  <r>
    <x v="178"/>
    <x v="131"/>
    <n v="4.9000000000000004"/>
    <x v="177"/>
    <n v="8"/>
    <x v="0"/>
    <x v="1"/>
  </r>
  <r>
    <x v="178"/>
    <x v="131"/>
    <n v="4.9000000000000004"/>
    <x v="177"/>
    <n v="8"/>
    <x v="3"/>
    <x v="1"/>
  </r>
  <r>
    <x v="178"/>
    <x v="131"/>
    <n v="4.9000000000000004"/>
    <x v="177"/>
    <n v="8"/>
    <x v="2"/>
    <x v="1"/>
  </r>
  <r>
    <x v="178"/>
    <x v="131"/>
    <n v="4.9000000000000004"/>
    <x v="177"/>
    <n v="8"/>
    <x v="4"/>
    <x v="1"/>
  </r>
  <r>
    <x v="179"/>
    <x v="33"/>
    <n v="4.8"/>
    <x v="178"/>
    <n v="7"/>
    <x v="8"/>
    <x v="1"/>
  </r>
  <r>
    <x v="180"/>
    <x v="132"/>
    <n v="4.2"/>
    <x v="179"/>
    <n v="12"/>
    <x v="7"/>
    <x v="1"/>
  </r>
  <r>
    <x v="181"/>
    <x v="133"/>
    <n v="4.5999999999999996"/>
    <x v="180"/>
    <n v="13"/>
    <x v="1"/>
    <x v="0"/>
  </r>
  <r>
    <x v="181"/>
    <x v="133"/>
    <n v="4.5999999999999996"/>
    <x v="180"/>
    <n v="13"/>
    <x v="10"/>
    <x v="0"/>
  </r>
  <r>
    <x v="182"/>
    <x v="110"/>
    <n v="4.5"/>
    <x v="181"/>
    <n v="9"/>
    <x v="3"/>
    <x v="0"/>
  </r>
  <r>
    <x v="183"/>
    <x v="100"/>
    <n v="4.3"/>
    <x v="182"/>
    <n v="13"/>
    <x v="3"/>
    <x v="1"/>
  </r>
  <r>
    <x v="184"/>
    <x v="134"/>
    <n v="4.5999999999999996"/>
    <x v="183"/>
    <n v="11"/>
    <x v="5"/>
    <x v="1"/>
  </r>
  <r>
    <x v="185"/>
    <x v="44"/>
    <n v="4.5999999999999996"/>
    <x v="184"/>
    <n v="20"/>
    <x v="7"/>
    <x v="0"/>
  </r>
  <r>
    <x v="185"/>
    <x v="44"/>
    <n v="4.5999999999999996"/>
    <x v="184"/>
    <n v="20"/>
    <x v="6"/>
    <x v="0"/>
  </r>
  <r>
    <x v="186"/>
    <x v="135"/>
    <n v="4.7"/>
    <x v="185"/>
    <n v="5"/>
    <x v="2"/>
    <x v="0"/>
  </r>
  <r>
    <x v="186"/>
    <x v="135"/>
    <n v="4.7"/>
    <x v="185"/>
    <n v="5"/>
    <x v="4"/>
    <x v="0"/>
  </r>
  <r>
    <x v="187"/>
    <x v="136"/>
    <n v="4.8"/>
    <x v="186"/>
    <n v="2"/>
    <x v="6"/>
    <x v="1"/>
  </r>
  <r>
    <x v="188"/>
    <x v="137"/>
    <n v="4.8"/>
    <x v="187"/>
    <n v="27"/>
    <x v="3"/>
    <x v="1"/>
  </r>
  <r>
    <x v="188"/>
    <x v="137"/>
    <n v="4.8"/>
    <x v="187"/>
    <n v="27"/>
    <x v="2"/>
    <x v="1"/>
  </r>
  <r>
    <x v="188"/>
    <x v="137"/>
    <n v="4.8"/>
    <x v="187"/>
    <n v="27"/>
    <x v="4"/>
    <x v="1"/>
  </r>
  <r>
    <x v="189"/>
    <x v="86"/>
    <n v="4.7"/>
    <x v="188"/>
    <n v="9"/>
    <x v="0"/>
    <x v="1"/>
  </r>
  <r>
    <x v="190"/>
    <x v="138"/>
    <n v="4.3"/>
    <x v="189"/>
    <n v="10"/>
    <x v="10"/>
    <x v="0"/>
  </r>
  <r>
    <x v="190"/>
    <x v="138"/>
    <n v="4.3"/>
    <x v="189"/>
    <n v="10"/>
    <x v="9"/>
    <x v="0"/>
  </r>
  <r>
    <x v="191"/>
    <x v="139"/>
    <n v="4.5"/>
    <x v="190"/>
    <n v="46"/>
    <x v="7"/>
    <x v="0"/>
  </r>
  <r>
    <x v="191"/>
    <x v="139"/>
    <n v="4.5"/>
    <x v="190"/>
    <n v="46"/>
    <x v="6"/>
    <x v="0"/>
  </r>
  <r>
    <x v="191"/>
    <x v="139"/>
    <n v="4.5"/>
    <x v="190"/>
    <n v="46"/>
    <x v="1"/>
    <x v="0"/>
  </r>
  <r>
    <x v="191"/>
    <x v="139"/>
    <n v="4.5"/>
    <x v="190"/>
    <n v="46"/>
    <x v="10"/>
    <x v="0"/>
  </r>
  <r>
    <x v="191"/>
    <x v="139"/>
    <n v="4.5"/>
    <x v="190"/>
    <n v="46"/>
    <x v="9"/>
    <x v="0"/>
  </r>
  <r>
    <x v="191"/>
    <x v="139"/>
    <n v="4.5"/>
    <x v="190"/>
    <n v="46"/>
    <x v="5"/>
    <x v="0"/>
  </r>
  <r>
    <x v="191"/>
    <x v="139"/>
    <n v="4.5"/>
    <x v="190"/>
    <n v="46"/>
    <x v="8"/>
    <x v="0"/>
  </r>
  <r>
    <x v="191"/>
    <x v="139"/>
    <n v="4.5"/>
    <x v="190"/>
    <n v="46"/>
    <x v="0"/>
    <x v="0"/>
  </r>
  <r>
    <x v="191"/>
    <x v="139"/>
    <n v="4.5"/>
    <x v="190"/>
    <n v="46"/>
    <x v="3"/>
    <x v="0"/>
  </r>
  <r>
    <x v="191"/>
    <x v="139"/>
    <n v="4.5"/>
    <x v="190"/>
    <n v="46"/>
    <x v="2"/>
    <x v="0"/>
  </r>
  <r>
    <x v="192"/>
    <x v="140"/>
    <n v="4.8"/>
    <x v="191"/>
    <n v="4"/>
    <x v="3"/>
    <x v="1"/>
  </r>
  <r>
    <x v="193"/>
    <x v="141"/>
    <n v="4.5999999999999996"/>
    <x v="192"/>
    <n v="20"/>
    <x v="10"/>
    <x v="0"/>
  </r>
  <r>
    <x v="193"/>
    <x v="141"/>
    <n v="4.5999999999999996"/>
    <x v="192"/>
    <n v="7"/>
    <x v="9"/>
    <x v="0"/>
  </r>
  <r>
    <x v="194"/>
    <x v="142"/>
    <n v="4.7"/>
    <x v="193"/>
    <n v="9"/>
    <x v="6"/>
    <x v="0"/>
  </r>
  <r>
    <x v="194"/>
    <x v="142"/>
    <n v="4.7"/>
    <x v="193"/>
    <n v="9"/>
    <x v="1"/>
    <x v="0"/>
  </r>
  <r>
    <x v="195"/>
    <x v="143"/>
    <n v="4.5999999999999996"/>
    <x v="194"/>
    <n v="12"/>
    <x v="3"/>
    <x v="1"/>
  </r>
  <r>
    <x v="195"/>
    <x v="143"/>
    <n v="4.5999999999999996"/>
    <x v="194"/>
    <n v="12"/>
    <x v="2"/>
    <x v="1"/>
  </r>
  <r>
    <x v="196"/>
    <x v="144"/>
    <n v="4.9000000000000004"/>
    <x v="195"/>
    <n v="12"/>
    <x v="9"/>
    <x v="1"/>
  </r>
  <r>
    <x v="197"/>
    <x v="144"/>
    <n v="4.9000000000000004"/>
    <x v="196"/>
    <n v="12"/>
    <x v="5"/>
    <x v="1"/>
  </r>
  <r>
    <x v="198"/>
    <x v="145"/>
    <n v="4.8"/>
    <x v="197"/>
    <n v="20"/>
    <x v="2"/>
    <x v="0"/>
  </r>
  <r>
    <x v="198"/>
    <x v="145"/>
    <n v="4.8"/>
    <x v="197"/>
    <n v="20"/>
    <x v="4"/>
    <x v="0"/>
  </r>
  <r>
    <x v="199"/>
    <x v="146"/>
    <n v="4.5999999999999996"/>
    <x v="198"/>
    <n v="10"/>
    <x v="6"/>
    <x v="1"/>
  </r>
  <r>
    <x v="200"/>
    <x v="147"/>
    <n v="4.8"/>
    <x v="199"/>
    <n v="6"/>
    <x v="2"/>
    <x v="0"/>
  </r>
  <r>
    <x v="200"/>
    <x v="147"/>
    <n v="4.8"/>
    <x v="199"/>
    <n v="6"/>
    <x v="4"/>
    <x v="0"/>
  </r>
  <r>
    <x v="201"/>
    <x v="58"/>
    <n v="4.7"/>
    <x v="200"/>
    <n v="9"/>
    <x v="8"/>
    <x v="0"/>
  </r>
  <r>
    <x v="202"/>
    <x v="148"/>
    <n v="4.7"/>
    <x v="201"/>
    <n v="11"/>
    <x v="6"/>
    <x v="0"/>
  </r>
  <r>
    <x v="203"/>
    <x v="149"/>
    <n v="4.8"/>
    <x v="202"/>
    <n v="16"/>
    <x v="2"/>
    <x v="0"/>
  </r>
  <r>
    <x v="204"/>
    <x v="150"/>
    <n v="4.0999999999999996"/>
    <x v="203"/>
    <n v="6"/>
    <x v="9"/>
    <x v="0"/>
  </r>
  <r>
    <x v="205"/>
    <x v="45"/>
    <n v="4.7"/>
    <x v="204"/>
    <n v="25"/>
    <x v="7"/>
    <x v="1"/>
  </r>
  <r>
    <x v="206"/>
    <x v="51"/>
    <n v="4.5999999999999996"/>
    <x v="205"/>
    <n v="17"/>
    <x v="9"/>
    <x v="0"/>
  </r>
  <r>
    <x v="207"/>
    <x v="111"/>
    <n v="4.5999999999999996"/>
    <x v="206"/>
    <n v="20"/>
    <x v="1"/>
    <x v="0"/>
  </r>
  <r>
    <x v="207"/>
    <x v="111"/>
    <n v="4.5999999999999996"/>
    <x v="206"/>
    <n v="20"/>
    <x v="10"/>
    <x v="0"/>
  </r>
  <r>
    <x v="208"/>
    <x v="151"/>
    <n v="4.9000000000000004"/>
    <x v="207"/>
    <n v="6"/>
    <x v="4"/>
    <x v="1"/>
  </r>
  <r>
    <x v="209"/>
    <x v="152"/>
    <n v="4"/>
    <x v="208"/>
    <n v="17"/>
    <x v="7"/>
    <x v="0"/>
  </r>
  <r>
    <x v="209"/>
    <x v="152"/>
    <n v="4"/>
    <x v="208"/>
    <n v="17"/>
    <x v="6"/>
    <x v="0"/>
  </r>
  <r>
    <x v="209"/>
    <x v="152"/>
    <n v="4"/>
    <x v="208"/>
    <n v="17"/>
    <x v="1"/>
    <x v="0"/>
  </r>
  <r>
    <x v="209"/>
    <x v="152"/>
    <n v="4"/>
    <x v="208"/>
    <n v="17"/>
    <x v="10"/>
    <x v="0"/>
  </r>
  <r>
    <x v="209"/>
    <x v="152"/>
    <n v="4"/>
    <x v="208"/>
    <n v="17"/>
    <x v="9"/>
    <x v="0"/>
  </r>
  <r>
    <x v="209"/>
    <x v="152"/>
    <n v="4"/>
    <x v="208"/>
    <n v="17"/>
    <x v="5"/>
    <x v="0"/>
  </r>
  <r>
    <x v="209"/>
    <x v="152"/>
    <n v="4"/>
    <x v="208"/>
    <n v="17"/>
    <x v="8"/>
    <x v="0"/>
  </r>
  <r>
    <x v="209"/>
    <x v="152"/>
    <n v="4"/>
    <x v="208"/>
    <n v="17"/>
    <x v="0"/>
    <x v="0"/>
  </r>
  <r>
    <x v="209"/>
    <x v="152"/>
    <n v="4"/>
    <x v="208"/>
    <n v="17"/>
    <x v="3"/>
    <x v="0"/>
  </r>
  <r>
    <x v="210"/>
    <x v="153"/>
    <n v="4.5"/>
    <x v="209"/>
    <n v="18"/>
    <x v="7"/>
    <x v="0"/>
  </r>
  <r>
    <x v="211"/>
    <x v="154"/>
    <n v="4.5999999999999996"/>
    <x v="210"/>
    <n v="13"/>
    <x v="6"/>
    <x v="0"/>
  </r>
  <r>
    <x v="212"/>
    <x v="155"/>
    <n v="4.5"/>
    <x v="211"/>
    <n v="18"/>
    <x v="9"/>
    <x v="1"/>
  </r>
  <r>
    <x v="213"/>
    <x v="156"/>
    <n v="4.4000000000000004"/>
    <x v="212"/>
    <n v="20"/>
    <x v="6"/>
    <x v="0"/>
  </r>
  <r>
    <x v="213"/>
    <x v="156"/>
    <n v="4.4000000000000004"/>
    <x v="212"/>
    <n v="20"/>
    <x v="1"/>
    <x v="0"/>
  </r>
  <r>
    <x v="214"/>
    <x v="157"/>
    <n v="4.3"/>
    <x v="213"/>
    <n v="22"/>
    <x v="1"/>
    <x v="0"/>
  </r>
  <r>
    <x v="215"/>
    <x v="158"/>
    <n v="4.3"/>
    <x v="214"/>
    <n v="21"/>
    <x v="1"/>
    <x v="0"/>
  </r>
  <r>
    <x v="216"/>
    <x v="159"/>
    <n v="4.7"/>
    <x v="215"/>
    <n v="28"/>
    <x v="6"/>
    <x v="0"/>
  </r>
  <r>
    <x v="216"/>
    <x v="159"/>
    <n v="4.7"/>
    <x v="215"/>
    <n v="28"/>
    <x v="1"/>
    <x v="0"/>
  </r>
  <r>
    <x v="216"/>
    <x v="159"/>
    <n v="4.7"/>
    <x v="215"/>
    <n v="28"/>
    <x v="10"/>
    <x v="0"/>
  </r>
  <r>
    <x v="216"/>
    <x v="159"/>
    <n v="4.7"/>
    <x v="215"/>
    <n v="28"/>
    <x v="9"/>
    <x v="0"/>
  </r>
  <r>
    <x v="216"/>
    <x v="159"/>
    <n v="4.7"/>
    <x v="215"/>
    <n v="28"/>
    <x v="5"/>
    <x v="0"/>
  </r>
  <r>
    <x v="216"/>
    <x v="159"/>
    <n v="4.8"/>
    <x v="216"/>
    <n v="8"/>
    <x v="8"/>
    <x v="0"/>
  </r>
  <r>
    <x v="216"/>
    <x v="159"/>
    <n v="4.8"/>
    <x v="216"/>
    <n v="8"/>
    <x v="0"/>
    <x v="0"/>
  </r>
  <r>
    <x v="216"/>
    <x v="159"/>
    <n v="4.8"/>
    <x v="216"/>
    <n v="8"/>
    <x v="3"/>
    <x v="0"/>
  </r>
  <r>
    <x v="216"/>
    <x v="159"/>
    <n v="4.8"/>
    <x v="216"/>
    <n v="8"/>
    <x v="2"/>
    <x v="0"/>
  </r>
  <r>
    <x v="216"/>
    <x v="159"/>
    <n v="4.8"/>
    <x v="216"/>
    <n v="8"/>
    <x v="4"/>
    <x v="0"/>
  </r>
  <r>
    <x v="217"/>
    <x v="160"/>
    <n v="4.8"/>
    <x v="217"/>
    <n v="12"/>
    <x v="7"/>
    <x v="0"/>
  </r>
  <r>
    <x v="218"/>
    <x v="161"/>
    <n v="4.5999999999999996"/>
    <x v="218"/>
    <n v="24"/>
    <x v="7"/>
    <x v="0"/>
  </r>
  <r>
    <x v="218"/>
    <x v="161"/>
    <n v="4.5999999999999996"/>
    <x v="218"/>
    <n v="24"/>
    <x v="1"/>
    <x v="0"/>
  </r>
  <r>
    <x v="218"/>
    <x v="161"/>
    <n v="4.5999999999999996"/>
    <x v="218"/>
    <n v="24"/>
    <x v="10"/>
    <x v="0"/>
  </r>
  <r>
    <x v="218"/>
    <x v="161"/>
    <n v="4.5999999999999996"/>
    <x v="218"/>
    <n v="24"/>
    <x v="9"/>
    <x v="0"/>
  </r>
  <r>
    <x v="218"/>
    <x v="161"/>
    <n v="4.7"/>
    <x v="219"/>
    <n v="16"/>
    <x v="8"/>
    <x v="0"/>
  </r>
  <r>
    <x v="218"/>
    <x v="161"/>
    <n v="4.7"/>
    <x v="219"/>
    <n v="16"/>
    <x v="0"/>
    <x v="0"/>
  </r>
  <r>
    <x v="218"/>
    <x v="161"/>
    <n v="4.7"/>
    <x v="219"/>
    <n v="16"/>
    <x v="3"/>
    <x v="0"/>
  </r>
  <r>
    <x v="219"/>
    <x v="162"/>
    <n v="4.7"/>
    <x v="220"/>
    <n v="39"/>
    <x v="5"/>
    <x v="1"/>
  </r>
  <r>
    <x v="220"/>
    <x v="163"/>
    <n v="4.5999999999999996"/>
    <x v="221"/>
    <n v="9"/>
    <x v="10"/>
    <x v="0"/>
  </r>
  <r>
    <x v="221"/>
    <x v="164"/>
    <n v="4.7"/>
    <x v="222"/>
    <n v="10"/>
    <x v="6"/>
    <x v="1"/>
  </r>
  <r>
    <x v="221"/>
    <x v="164"/>
    <n v="4.7"/>
    <x v="222"/>
    <n v="10"/>
    <x v="1"/>
    <x v="1"/>
  </r>
  <r>
    <x v="222"/>
    <x v="165"/>
    <n v="4.7"/>
    <x v="223"/>
    <n v="17"/>
    <x v="6"/>
    <x v="0"/>
  </r>
  <r>
    <x v="223"/>
    <x v="136"/>
    <n v="4.8"/>
    <x v="224"/>
    <n v="11"/>
    <x v="5"/>
    <x v="1"/>
  </r>
  <r>
    <x v="224"/>
    <x v="166"/>
    <n v="4.2"/>
    <x v="225"/>
    <n v="14"/>
    <x v="10"/>
    <x v="0"/>
  </r>
  <r>
    <x v="225"/>
    <x v="167"/>
    <n v="4.8"/>
    <x v="226"/>
    <n v="12"/>
    <x v="4"/>
    <x v="0"/>
  </r>
  <r>
    <x v="226"/>
    <x v="168"/>
    <n v="4.7"/>
    <x v="227"/>
    <n v="53"/>
    <x v="7"/>
    <x v="0"/>
  </r>
  <r>
    <x v="227"/>
    <x v="169"/>
    <n v="4.5999999999999996"/>
    <x v="228"/>
    <n v="6"/>
    <x v="9"/>
    <x v="1"/>
  </r>
  <r>
    <x v="227"/>
    <x v="169"/>
    <n v="4.5999999999999996"/>
    <x v="228"/>
    <n v="6"/>
    <x v="5"/>
    <x v="1"/>
  </r>
  <r>
    <x v="228"/>
    <x v="170"/>
    <n v="4.8"/>
    <x v="229"/>
    <n v="8"/>
    <x v="5"/>
    <x v="1"/>
  </r>
  <r>
    <x v="228"/>
    <x v="170"/>
    <n v="4.8"/>
    <x v="229"/>
    <n v="8"/>
    <x v="8"/>
    <x v="1"/>
  </r>
  <r>
    <x v="229"/>
    <x v="171"/>
    <n v="4.8"/>
    <x v="230"/>
    <n v="12"/>
    <x v="5"/>
    <x v="0"/>
  </r>
  <r>
    <x v="229"/>
    <x v="171"/>
    <n v="4.8"/>
    <x v="230"/>
    <n v="12"/>
    <x v="8"/>
    <x v="0"/>
  </r>
  <r>
    <x v="230"/>
    <x v="60"/>
    <n v="3.3"/>
    <x v="231"/>
    <n v="12"/>
    <x v="10"/>
    <x v="1"/>
  </r>
  <r>
    <x v="231"/>
    <x v="172"/>
    <n v="4.7"/>
    <x v="232"/>
    <n v="21"/>
    <x v="1"/>
    <x v="0"/>
  </r>
  <r>
    <x v="232"/>
    <x v="173"/>
    <n v="4.3"/>
    <x v="233"/>
    <n v="6"/>
    <x v="2"/>
    <x v="0"/>
  </r>
  <r>
    <x v="232"/>
    <x v="173"/>
    <n v="4.3"/>
    <x v="233"/>
    <n v="6"/>
    <x v="4"/>
    <x v="0"/>
  </r>
  <r>
    <x v="233"/>
    <x v="155"/>
    <n v="4.3"/>
    <x v="234"/>
    <n v="13"/>
    <x v="6"/>
    <x v="1"/>
  </r>
  <r>
    <x v="234"/>
    <x v="174"/>
    <n v="4.8"/>
    <x v="235"/>
    <n v="0"/>
    <x v="0"/>
    <x v="0"/>
  </r>
  <r>
    <x v="235"/>
    <x v="175"/>
    <n v="4.4000000000000004"/>
    <x v="236"/>
    <n v="11"/>
    <x v="6"/>
    <x v="0"/>
  </r>
  <r>
    <x v="236"/>
    <x v="176"/>
    <n v="4.8"/>
    <x v="237"/>
    <n v="9"/>
    <x v="9"/>
    <x v="1"/>
  </r>
  <r>
    <x v="236"/>
    <x v="176"/>
    <n v="4.8"/>
    <x v="237"/>
    <n v="9"/>
    <x v="5"/>
    <x v="1"/>
  </r>
  <r>
    <x v="236"/>
    <x v="176"/>
    <n v="4.8"/>
    <x v="237"/>
    <n v="9"/>
    <x v="8"/>
    <x v="1"/>
  </r>
  <r>
    <x v="237"/>
    <x v="177"/>
    <n v="4.0999999999999996"/>
    <x v="238"/>
    <n v="15"/>
    <x v="1"/>
    <x v="0"/>
  </r>
  <r>
    <x v="238"/>
    <x v="178"/>
    <n v="4"/>
    <x v="239"/>
    <n v="11"/>
    <x v="7"/>
    <x v="1"/>
  </r>
  <r>
    <x v="239"/>
    <x v="118"/>
    <n v="4.7"/>
    <x v="240"/>
    <n v="13"/>
    <x v="10"/>
    <x v="1"/>
  </r>
  <r>
    <x v="239"/>
    <x v="118"/>
    <n v="4.7"/>
    <x v="240"/>
    <n v="13"/>
    <x v="9"/>
    <x v="1"/>
  </r>
  <r>
    <x v="239"/>
    <x v="118"/>
    <n v="4.7"/>
    <x v="240"/>
    <n v="7"/>
    <x v="5"/>
    <x v="1"/>
  </r>
  <r>
    <x v="239"/>
    <x v="118"/>
    <n v="4.7"/>
    <x v="240"/>
    <n v="13"/>
    <x v="5"/>
    <x v="1"/>
  </r>
  <r>
    <x v="240"/>
    <x v="179"/>
    <n v="4.5999999999999996"/>
    <x v="241"/>
    <n v="6"/>
    <x v="7"/>
    <x v="0"/>
  </r>
  <r>
    <x v="240"/>
    <x v="179"/>
    <n v="4.5999999999999996"/>
    <x v="241"/>
    <n v="6"/>
    <x v="6"/>
    <x v="0"/>
  </r>
  <r>
    <x v="240"/>
    <x v="179"/>
    <n v="4.5999999999999996"/>
    <x v="241"/>
    <n v="6"/>
    <x v="1"/>
    <x v="0"/>
  </r>
  <r>
    <x v="240"/>
    <x v="179"/>
    <n v="4.5999999999999996"/>
    <x v="241"/>
    <n v="6"/>
    <x v="10"/>
    <x v="0"/>
  </r>
  <r>
    <x v="240"/>
    <x v="179"/>
    <n v="4.5999999999999996"/>
    <x v="241"/>
    <n v="6"/>
    <x v="9"/>
    <x v="0"/>
  </r>
  <r>
    <x v="241"/>
    <x v="159"/>
    <n v="4.5999999999999996"/>
    <x v="242"/>
    <n v="9"/>
    <x v="7"/>
    <x v="0"/>
  </r>
  <r>
    <x v="242"/>
    <x v="180"/>
    <n v="4.7"/>
    <x v="243"/>
    <n v="6"/>
    <x v="9"/>
    <x v="0"/>
  </r>
  <r>
    <x v="242"/>
    <x v="180"/>
    <n v="4.7"/>
    <x v="243"/>
    <n v="6"/>
    <x v="8"/>
    <x v="0"/>
  </r>
  <r>
    <x v="242"/>
    <x v="180"/>
    <n v="4.7"/>
    <x v="243"/>
    <n v="6"/>
    <x v="0"/>
    <x v="0"/>
  </r>
  <r>
    <x v="242"/>
    <x v="180"/>
    <n v="4.7"/>
    <x v="243"/>
    <n v="6"/>
    <x v="3"/>
    <x v="0"/>
  </r>
  <r>
    <x v="242"/>
    <x v="180"/>
    <n v="4.7"/>
    <x v="243"/>
    <n v="6"/>
    <x v="2"/>
    <x v="0"/>
  </r>
  <r>
    <x v="242"/>
    <x v="180"/>
    <n v="4.7"/>
    <x v="243"/>
    <n v="6"/>
    <x v="4"/>
    <x v="0"/>
  </r>
  <r>
    <x v="243"/>
    <x v="33"/>
    <n v="4.8"/>
    <x v="244"/>
    <n v="0"/>
    <x v="3"/>
    <x v="1"/>
  </r>
  <r>
    <x v="244"/>
    <x v="181"/>
    <n v="4.0999999999999996"/>
    <x v="245"/>
    <n v="18"/>
    <x v="8"/>
    <x v="1"/>
  </r>
  <r>
    <x v="244"/>
    <x v="181"/>
    <n v="4.0999999999999996"/>
    <x v="245"/>
    <n v="7"/>
    <x v="0"/>
    <x v="1"/>
  </r>
  <r>
    <x v="245"/>
    <x v="182"/>
    <n v="4.7"/>
    <x v="246"/>
    <n v="14"/>
    <x v="6"/>
    <x v="1"/>
  </r>
  <r>
    <x v="245"/>
    <x v="182"/>
    <n v="4.7"/>
    <x v="246"/>
    <n v="14"/>
    <x v="1"/>
    <x v="1"/>
  </r>
  <r>
    <x v="246"/>
    <x v="182"/>
    <n v="4.7"/>
    <x v="247"/>
    <n v="9"/>
    <x v="6"/>
    <x v="1"/>
  </r>
  <r>
    <x v="247"/>
    <x v="182"/>
    <n v="4.7"/>
    <x v="247"/>
    <n v="16"/>
    <x v="7"/>
    <x v="1"/>
  </r>
  <r>
    <x v="248"/>
    <x v="182"/>
    <n v="4.4000000000000004"/>
    <x v="248"/>
    <n v="2"/>
    <x v="7"/>
    <x v="1"/>
  </r>
  <r>
    <x v="248"/>
    <x v="182"/>
    <n v="4.4000000000000004"/>
    <x v="248"/>
    <n v="2"/>
    <x v="6"/>
    <x v="1"/>
  </r>
  <r>
    <x v="249"/>
    <x v="183"/>
    <n v="4.8"/>
    <x v="249"/>
    <n v="5"/>
    <x v="0"/>
    <x v="1"/>
  </r>
  <r>
    <x v="249"/>
    <x v="183"/>
    <n v="4.8"/>
    <x v="249"/>
    <n v="5"/>
    <x v="3"/>
    <x v="1"/>
  </r>
  <r>
    <x v="250"/>
    <x v="184"/>
    <n v="3.9"/>
    <x v="250"/>
    <n v="20"/>
    <x v="9"/>
    <x v="1"/>
  </r>
  <r>
    <x v="250"/>
    <x v="184"/>
    <n v="3.9"/>
    <x v="250"/>
    <n v="20"/>
    <x v="5"/>
    <x v="1"/>
  </r>
  <r>
    <x v="251"/>
    <x v="185"/>
    <n v="4.4000000000000004"/>
    <x v="251"/>
    <n v="7"/>
    <x v="10"/>
    <x v="1"/>
  </r>
  <r>
    <x v="251"/>
    <x v="185"/>
    <n v="4.4000000000000004"/>
    <x v="251"/>
    <n v="7"/>
    <x v="9"/>
    <x v="1"/>
  </r>
  <r>
    <x v="251"/>
    <x v="185"/>
    <n v="4.4000000000000004"/>
    <x v="251"/>
    <n v="7"/>
    <x v="5"/>
    <x v="1"/>
  </r>
  <r>
    <x v="252"/>
    <x v="155"/>
    <n v="4.5"/>
    <x v="252"/>
    <n v="14"/>
    <x v="4"/>
    <x v="1"/>
  </r>
  <r>
    <x v="253"/>
    <x v="186"/>
    <n v="4.7"/>
    <x v="253"/>
    <n v="10"/>
    <x v="7"/>
    <x v="1"/>
  </r>
  <r>
    <x v="254"/>
    <x v="187"/>
    <n v="4.3"/>
    <x v="254"/>
    <n v="7"/>
    <x v="3"/>
    <x v="1"/>
  </r>
  <r>
    <x v="255"/>
    <x v="188"/>
    <n v="4.5999999999999996"/>
    <x v="255"/>
    <n v="13"/>
    <x v="10"/>
    <x v="1"/>
  </r>
  <r>
    <x v="256"/>
    <x v="189"/>
    <n v="4.8"/>
    <x v="256"/>
    <n v="11"/>
    <x v="2"/>
    <x v="1"/>
  </r>
  <r>
    <x v="257"/>
    <x v="190"/>
    <n v="4.8"/>
    <x v="257"/>
    <n v="6"/>
    <x v="7"/>
    <x v="1"/>
  </r>
  <r>
    <x v="257"/>
    <x v="190"/>
    <n v="4.8"/>
    <x v="257"/>
    <n v="6"/>
    <x v="6"/>
    <x v="1"/>
  </r>
  <r>
    <x v="257"/>
    <x v="190"/>
    <n v="4.8"/>
    <x v="257"/>
    <n v="8"/>
    <x v="1"/>
    <x v="1"/>
  </r>
  <r>
    <x v="257"/>
    <x v="190"/>
    <n v="4.8"/>
    <x v="257"/>
    <n v="7"/>
    <x v="1"/>
    <x v="1"/>
  </r>
  <r>
    <x v="258"/>
    <x v="136"/>
    <n v="4.8"/>
    <x v="258"/>
    <n v="14"/>
    <x v="9"/>
    <x v="1"/>
  </r>
  <r>
    <x v="259"/>
    <x v="37"/>
    <n v="4.7"/>
    <x v="259"/>
    <n v="14"/>
    <x v="6"/>
    <x v="1"/>
  </r>
  <r>
    <x v="260"/>
    <x v="37"/>
    <n v="4.7"/>
    <x v="259"/>
    <n v="8"/>
    <x v="1"/>
    <x v="1"/>
  </r>
  <r>
    <x v="260"/>
    <x v="37"/>
    <n v="4.7"/>
    <x v="259"/>
    <n v="8"/>
    <x v="10"/>
    <x v="1"/>
  </r>
  <r>
    <x v="261"/>
    <x v="37"/>
    <n v="4.8"/>
    <x v="260"/>
    <n v="30"/>
    <x v="1"/>
    <x v="1"/>
  </r>
  <r>
    <x v="261"/>
    <x v="37"/>
    <n v="4.8"/>
    <x v="260"/>
    <n v="30"/>
    <x v="10"/>
    <x v="1"/>
  </r>
  <r>
    <x v="262"/>
    <x v="191"/>
    <n v="4.7"/>
    <x v="261"/>
    <n v="13"/>
    <x v="6"/>
    <x v="0"/>
  </r>
  <r>
    <x v="262"/>
    <x v="191"/>
    <n v="4.7"/>
    <x v="261"/>
    <n v="9"/>
    <x v="1"/>
    <x v="0"/>
  </r>
  <r>
    <x v="262"/>
    <x v="191"/>
    <n v="4.7"/>
    <x v="261"/>
    <n v="9"/>
    <x v="10"/>
    <x v="0"/>
  </r>
  <r>
    <x v="263"/>
    <x v="192"/>
    <n v="4.3"/>
    <x v="262"/>
    <n v="7"/>
    <x v="3"/>
    <x v="0"/>
  </r>
  <r>
    <x v="263"/>
    <x v="192"/>
    <n v="4.3"/>
    <x v="262"/>
    <n v="7"/>
    <x v="2"/>
    <x v="0"/>
  </r>
  <r>
    <x v="264"/>
    <x v="193"/>
    <n v="4.7"/>
    <x v="263"/>
    <n v="9"/>
    <x v="7"/>
    <x v="0"/>
  </r>
  <r>
    <x v="265"/>
    <x v="136"/>
    <n v="4.8"/>
    <x v="264"/>
    <n v="7"/>
    <x v="7"/>
    <x v="1"/>
  </r>
  <r>
    <x v="265"/>
    <x v="136"/>
    <n v="4.8"/>
    <x v="264"/>
    <n v="7"/>
    <x v="6"/>
    <x v="1"/>
  </r>
  <r>
    <x v="266"/>
    <x v="194"/>
    <n v="4.9000000000000004"/>
    <x v="265"/>
    <n v="20"/>
    <x v="9"/>
    <x v="1"/>
  </r>
  <r>
    <x v="267"/>
    <x v="195"/>
    <n v="4.4000000000000004"/>
    <x v="266"/>
    <n v="13"/>
    <x v="1"/>
    <x v="0"/>
  </r>
  <r>
    <x v="267"/>
    <x v="195"/>
    <n v="4.4000000000000004"/>
    <x v="266"/>
    <n v="13"/>
    <x v="10"/>
    <x v="0"/>
  </r>
  <r>
    <x v="268"/>
    <x v="196"/>
    <n v="4.5"/>
    <x v="267"/>
    <n v="11"/>
    <x v="8"/>
    <x v="0"/>
  </r>
  <r>
    <x v="268"/>
    <x v="196"/>
    <n v="4.5"/>
    <x v="267"/>
    <n v="11"/>
    <x v="0"/>
    <x v="0"/>
  </r>
  <r>
    <x v="268"/>
    <x v="196"/>
    <n v="4.5"/>
    <x v="267"/>
    <n v="11"/>
    <x v="3"/>
    <x v="0"/>
  </r>
  <r>
    <x v="268"/>
    <x v="196"/>
    <n v="4.5"/>
    <x v="267"/>
    <n v="11"/>
    <x v="4"/>
    <x v="0"/>
  </r>
  <r>
    <x v="269"/>
    <x v="155"/>
    <n v="4.4000000000000004"/>
    <x v="268"/>
    <n v="18"/>
    <x v="1"/>
    <x v="1"/>
  </r>
  <r>
    <x v="270"/>
    <x v="136"/>
    <n v="4.8"/>
    <x v="269"/>
    <n v="14"/>
    <x v="6"/>
    <x v="1"/>
  </r>
  <r>
    <x v="271"/>
    <x v="100"/>
    <n v="4.2"/>
    <x v="270"/>
    <n v="19"/>
    <x v="7"/>
    <x v="1"/>
  </r>
  <r>
    <x v="272"/>
    <x v="197"/>
    <n v="4.8"/>
    <x v="271"/>
    <n v="13"/>
    <x v="7"/>
    <x v="0"/>
  </r>
  <r>
    <x v="273"/>
    <x v="198"/>
    <n v="4.9000000000000004"/>
    <x v="272"/>
    <n v="5"/>
    <x v="0"/>
    <x v="0"/>
  </r>
  <r>
    <x v="274"/>
    <x v="136"/>
    <n v="4.8"/>
    <x v="273"/>
    <n v="10"/>
    <x v="10"/>
    <x v="1"/>
  </r>
  <r>
    <x v="275"/>
    <x v="199"/>
    <n v="4.7"/>
    <x v="274"/>
    <n v="9"/>
    <x v="8"/>
    <x v="1"/>
  </r>
  <r>
    <x v="276"/>
    <x v="200"/>
    <n v="4.5"/>
    <x v="275"/>
    <n v="8"/>
    <x v="5"/>
    <x v="1"/>
  </r>
  <r>
    <x v="277"/>
    <x v="33"/>
    <n v="4.8"/>
    <x v="276"/>
    <n v="8"/>
    <x v="2"/>
    <x v="1"/>
  </r>
  <r>
    <x v="278"/>
    <x v="201"/>
    <n v="4.5999999999999996"/>
    <x v="277"/>
    <n v="12"/>
    <x v="4"/>
    <x v="0"/>
  </r>
  <r>
    <x v="279"/>
    <x v="202"/>
    <n v="4.8"/>
    <x v="278"/>
    <n v="11"/>
    <x v="8"/>
    <x v="1"/>
  </r>
  <r>
    <x v="279"/>
    <x v="202"/>
    <n v="4.8"/>
    <x v="278"/>
    <n v="11"/>
    <x v="0"/>
    <x v="1"/>
  </r>
  <r>
    <x v="280"/>
    <x v="203"/>
    <n v="4.4000000000000004"/>
    <x v="279"/>
    <n v="40"/>
    <x v="6"/>
    <x v="0"/>
  </r>
  <r>
    <x v="280"/>
    <x v="203"/>
    <n v="4.4000000000000004"/>
    <x v="279"/>
    <n v="40"/>
    <x v="1"/>
    <x v="0"/>
  </r>
  <r>
    <x v="280"/>
    <x v="203"/>
    <n v="4.4000000000000004"/>
    <x v="279"/>
    <n v="40"/>
    <x v="10"/>
    <x v="0"/>
  </r>
  <r>
    <x v="280"/>
    <x v="203"/>
    <n v="4.4000000000000004"/>
    <x v="279"/>
    <n v="40"/>
    <x v="9"/>
    <x v="0"/>
  </r>
  <r>
    <x v="280"/>
    <x v="203"/>
    <n v="4.4000000000000004"/>
    <x v="279"/>
    <n v="40"/>
    <x v="5"/>
    <x v="0"/>
  </r>
  <r>
    <x v="281"/>
    <x v="203"/>
    <n v="4.3"/>
    <x v="280"/>
    <n v="36"/>
    <x v="0"/>
    <x v="0"/>
  </r>
  <r>
    <x v="282"/>
    <x v="204"/>
    <n v="4.3"/>
    <x v="281"/>
    <n v="16"/>
    <x v="1"/>
    <x v="1"/>
  </r>
  <r>
    <x v="283"/>
    <x v="205"/>
    <n v="4.8"/>
    <x v="282"/>
    <n v="17"/>
    <x v="9"/>
    <x v="0"/>
  </r>
  <r>
    <x v="284"/>
    <x v="205"/>
    <n v="4.8"/>
    <x v="283"/>
    <n v="14"/>
    <x v="8"/>
    <x v="0"/>
  </r>
  <r>
    <x v="285"/>
    <x v="205"/>
    <n v="4.8"/>
    <x v="284"/>
    <n v="21"/>
    <x v="10"/>
    <x v="0"/>
  </r>
  <r>
    <x v="286"/>
    <x v="206"/>
    <n v="4.5"/>
    <x v="285"/>
    <n v="18"/>
    <x v="2"/>
    <x v="0"/>
  </r>
  <r>
    <x v="287"/>
    <x v="206"/>
    <n v="4.4000000000000004"/>
    <x v="286"/>
    <n v="17"/>
    <x v="2"/>
    <x v="0"/>
  </r>
  <r>
    <x v="288"/>
    <x v="207"/>
    <n v="4.8"/>
    <x v="287"/>
    <n v="5"/>
    <x v="3"/>
    <x v="1"/>
  </r>
  <r>
    <x v="288"/>
    <x v="207"/>
    <n v="4.8"/>
    <x v="287"/>
    <n v="5"/>
    <x v="2"/>
    <x v="1"/>
  </r>
  <r>
    <x v="289"/>
    <x v="208"/>
    <n v="4.5999999999999996"/>
    <x v="288"/>
    <n v="21"/>
    <x v="10"/>
    <x v="0"/>
  </r>
  <r>
    <x v="290"/>
    <x v="96"/>
    <n v="4.3"/>
    <x v="289"/>
    <n v="18"/>
    <x v="2"/>
    <x v="1"/>
  </r>
  <r>
    <x v="291"/>
    <x v="155"/>
    <n v="4.3"/>
    <x v="290"/>
    <n v="18"/>
    <x v="10"/>
    <x v="1"/>
  </r>
  <r>
    <x v="292"/>
    <x v="136"/>
    <n v="4.5999999999999996"/>
    <x v="291"/>
    <n v="12"/>
    <x v="6"/>
    <x v="1"/>
  </r>
  <r>
    <x v="293"/>
    <x v="209"/>
    <n v="4.5999999999999996"/>
    <x v="292"/>
    <n v="14"/>
    <x v="6"/>
    <x v="0"/>
  </r>
  <r>
    <x v="294"/>
    <x v="136"/>
    <n v="4.8"/>
    <x v="293"/>
    <n v="12"/>
    <x v="10"/>
    <x v="1"/>
  </r>
  <r>
    <x v="295"/>
    <x v="210"/>
    <n v="4.5999999999999996"/>
    <x v="294"/>
    <n v="8"/>
    <x v="7"/>
    <x v="1"/>
  </r>
  <r>
    <x v="295"/>
    <x v="210"/>
    <n v="4.5999999999999996"/>
    <x v="294"/>
    <n v="8"/>
    <x v="3"/>
    <x v="1"/>
  </r>
  <r>
    <x v="296"/>
    <x v="31"/>
    <n v="4.5999999999999996"/>
    <x v="295"/>
    <n v="0"/>
    <x v="6"/>
    <x v="1"/>
  </r>
  <r>
    <x v="297"/>
    <x v="211"/>
    <n v="4.5"/>
    <x v="296"/>
    <n v="14"/>
    <x v="4"/>
    <x v="1"/>
  </r>
  <r>
    <x v="298"/>
    <x v="136"/>
    <n v="4.8"/>
    <x v="297"/>
    <n v="10"/>
    <x v="1"/>
    <x v="1"/>
  </r>
  <r>
    <x v="299"/>
    <x v="212"/>
    <n v="4.5999999999999996"/>
    <x v="298"/>
    <n v="15"/>
    <x v="3"/>
    <x v="0"/>
  </r>
  <r>
    <x v="299"/>
    <x v="212"/>
    <n v="4.5999999999999996"/>
    <x v="298"/>
    <n v="15"/>
    <x v="2"/>
    <x v="0"/>
  </r>
  <r>
    <x v="299"/>
    <x v="212"/>
    <n v="4.5999999999999996"/>
    <x v="298"/>
    <n v="15"/>
    <x v="4"/>
    <x v="0"/>
  </r>
  <r>
    <x v="300"/>
    <x v="123"/>
    <n v="4.7"/>
    <x v="299"/>
    <n v="9"/>
    <x v="3"/>
    <x v="0"/>
  </r>
  <r>
    <x v="301"/>
    <x v="33"/>
    <n v="4.7"/>
    <x v="300"/>
    <n v="7"/>
    <x v="10"/>
    <x v="1"/>
  </r>
  <r>
    <x v="302"/>
    <x v="136"/>
    <n v="4.7"/>
    <x v="301"/>
    <n v="10"/>
    <x v="1"/>
    <x v="1"/>
  </r>
  <r>
    <x v="303"/>
    <x v="213"/>
    <n v="4.4000000000000004"/>
    <x v="281"/>
    <n v="6"/>
    <x v="7"/>
    <x v="1"/>
  </r>
  <r>
    <x v="304"/>
    <x v="44"/>
    <n v="4.4000000000000004"/>
    <x v="188"/>
    <n v="9"/>
    <x v="7"/>
    <x v="0"/>
  </r>
  <r>
    <x v="305"/>
    <x v="214"/>
    <n v="4.7"/>
    <x v="302"/>
    <n v="10"/>
    <x v="4"/>
    <x v="0"/>
  </r>
  <r>
    <x v="306"/>
    <x v="31"/>
    <n v="4.7"/>
    <x v="303"/>
    <n v="82"/>
    <x v="7"/>
    <x v="1"/>
  </r>
  <r>
    <x v="307"/>
    <x v="33"/>
    <n v="4.8"/>
    <x v="304"/>
    <n v="12"/>
    <x v="6"/>
    <x v="1"/>
  </r>
  <r>
    <x v="308"/>
    <x v="215"/>
    <n v="4.7"/>
    <x v="305"/>
    <n v="10"/>
    <x v="4"/>
    <x v="0"/>
  </r>
  <r>
    <x v="309"/>
    <x v="216"/>
    <n v="4.9000000000000004"/>
    <x v="306"/>
    <n v="5"/>
    <x v="9"/>
    <x v="1"/>
  </r>
  <r>
    <x v="309"/>
    <x v="216"/>
    <n v="4.9000000000000004"/>
    <x v="306"/>
    <n v="5"/>
    <x v="5"/>
    <x v="1"/>
  </r>
  <r>
    <x v="309"/>
    <x v="216"/>
    <n v="4.9000000000000004"/>
    <x v="306"/>
    <n v="5"/>
    <x v="8"/>
    <x v="1"/>
  </r>
  <r>
    <x v="309"/>
    <x v="216"/>
    <n v="4.9000000000000004"/>
    <x v="306"/>
    <n v="5"/>
    <x v="0"/>
    <x v="1"/>
  </r>
  <r>
    <x v="309"/>
    <x v="216"/>
    <n v="4.9000000000000004"/>
    <x v="306"/>
    <n v="5"/>
    <x v="3"/>
    <x v="1"/>
  </r>
  <r>
    <x v="309"/>
    <x v="216"/>
    <n v="4.9000000000000004"/>
    <x v="306"/>
    <n v="5"/>
    <x v="2"/>
    <x v="1"/>
  </r>
  <r>
    <x v="309"/>
    <x v="216"/>
    <n v="4.9000000000000004"/>
    <x v="306"/>
    <n v="5"/>
    <x v="4"/>
    <x v="1"/>
  </r>
  <r>
    <x v="310"/>
    <x v="217"/>
    <n v="4.5999999999999996"/>
    <x v="307"/>
    <n v="16"/>
    <x v="8"/>
    <x v="0"/>
  </r>
  <r>
    <x v="310"/>
    <x v="217"/>
    <n v="4.5999999999999996"/>
    <x v="307"/>
    <n v="16"/>
    <x v="0"/>
    <x v="0"/>
  </r>
  <r>
    <x v="310"/>
    <x v="217"/>
    <n v="4.5999999999999996"/>
    <x v="307"/>
    <n v="16"/>
    <x v="3"/>
    <x v="0"/>
  </r>
  <r>
    <x v="311"/>
    <x v="218"/>
    <n v="4.9000000000000004"/>
    <x v="308"/>
    <n v="10"/>
    <x v="0"/>
    <x v="1"/>
  </r>
  <r>
    <x v="311"/>
    <x v="218"/>
    <n v="4.9000000000000004"/>
    <x v="308"/>
    <n v="10"/>
    <x v="3"/>
    <x v="1"/>
  </r>
  <r>
    <x v="311"/>
    <x v="218"/>
    <n v="4.9000000000000004"/>
    <x v="308"/>
    <n v="10"/>
    <x v="2"/>
    <x v="1"/>
  </r>
  <r>
    <x v="311"/>
    <x v="218"/>
    <n v="4.9000000000000004"/>
    <x v="308"/>
    <n v="10"/>
    <x v="4"/>
    <x v="1"/>
  </r>
  <r>
    <x v="312"/>
    <x v="219"/>
    <n v="4.8"/>
    <x v="309"/>
    <n v="4"/>
    <x v="2"/>
    <x v="1"/>
  </r>
  <r>
    <x v="312"/>
    <x v="219"/>
    <n v="4.8"/>
    <x v="309"/>
    <n v="4"/>
    <x v="4"/>
    <x v="1"/>
  </r>
  <r>
    <x v="313"/>
    <x v="220"/>
    <n v="4.7"/>
    <x v="178"/>
    <n v="16"/>
    <x v="8"/>
    <x v="0"/>
  </r>
  <r>
    <x v="314"/>
    <x v="221"/>
    <n v="4.7"/>
    <x v="310"/>
    <n v="15"/>
    <x v="9"/>
    <x v="0"/>
  </r>
  <r>
    <x v="315"/>
    <x v="222"/>
    <n v="4.5999999999999996"/>
    <x v="311"/>
    <n v="19"/>
    <x v="1"/>
    <x v="0"/>
  </r>
  <r>
    <x v="315"/>
    <x v="222"/>
    <n v="4.5999999999999996"/>
    <x v="311"/>
    <n v="19"/>
    <x v="10"/>
    <x v="0"/>
  </r>
  <r>
    <x v="316"/>
    <x v="223"/>
    <n v="4.5"/>
    <x v="312"/>
    <n v="9"/>
    <x v="3"/>
    <x v="1"/>
  </r>
  <r>
    <x v="317"/>
    <x v="224"/>
    <n v="4.5"/>
    <x v="313"/>
    <n v="23"/>
    <x v="10"/>
    <x v="0"/>
  </r>
  <r>
    <x v="318"/>
    <x v="225"/>
    <n v="4.3"/>
    <x v="314"/>
    <n v="11"/>
    <x v="7"/>
    <x v="0"/>
  </r>
  <r>
    <x v="318"/>
    <x v="225"/>
    <n v="4.3"/>
    <x v="314"/>
    <n v="11"/>
    <x v="6"/>
    <x v="0"/>
  </r>
  <r>
    <x v="319"/>
    <x v="226"/>
    <n v="4.5999999999999996"/>
    <x v="315"/>
    <n v="23"/>
    <x v="5"/>
    <x v="0"/>
  </r>
  <r>
    <x v="319"/>
    <x v="226"/>
    <n v="4.5999999999999996"/>
    <x v="315"/>
    <n v="23"/>
    <x v="8"/>
    <x v="0"/>
  </r>
  <r>
    <x v="319"/>
    <x v="226"/>
    <n v="4.5999999999999996"/>
    <x v="315"/>
    <n v="23"/>
    <x v="0"/>
    <x v="0"/>
  </r>
  <r>
    <x v="319"/>
    <x v="226"/>
    <n v="4.5999999999999996"/>
    <x v="315"/>
    <n v="23"/>
    <x v="3"/>
    <x v="0"/>
  </r>
  <r>
    <x v="320"/>
    <x v="227"/>
    <n v="4.3"/>
    <x v="316"/>
    <n v="12"/>
    <x v="1"/>
    <x v="0"/>
  </r>
  <r>
    <x v="321"/>
    <x v="73"/>
    <n v="4.8"/>
    <x v="317"/>
    <n v="0"/>
    <x v="9"/>
    <x v="1"/>
  </r>
  <r>
    <x v="321"/>
    <x v="73"/>
    <n v="4.8"/>
    <x v="317"/>
    <n v="0"/>
    <x v="5"/>
    <x v="1"/>
  </r>
  <r>
    <x v="321"/>
    <x v="73"/>
    <n v="4.8"/>
    <x v="317"/>
    <n v="0"/>
    <x v="8"/>
    <x v="1"/>
  </r>
  <r>
    <x v="321"/>
    <x v="73"/>
    <n v="4.8"/>
    <x v="317"/>
    <n v="0"/>
    <x v="0"/>
    <x v="1"/>
  </r>
  <r>
    <x v="321"/>
    <x v="73"/>
    <n v="4.8"/>
    <x v="317"/>
    <n v="7"/>
    <x v="4"/>
    <x v="1"/>
  </r>
  <r>
    <x v="322"/>
    <x v="158"/>
    <n v="4.5999999999999996"/>
    <x v="318"/>
    <n v="21"/>
    <x v="3"/>
    <x v="0"/>
  </r>
  <r>
    <x v="323"/>
    <x v="228"/>
    <n v="4.8"/>
    <x v="319"/>
    <n v="21"/>
    <x v="6"/>
    <x v="1"/>
  </r>
  <r>
    <x v="324"/>
    <x v="229"/>
    <n v="4.5"/>
    <x v="320"/>
    <n v="15"/>
    <x v="7"/>
    <x v="0"/>
  </r>
  <r>
    <x v="325"/>
    <x v="31"/>
    <n v="4.7"/>
    <x v="321"/>
    <n v="9"/>
    <x v="7"/>
    <x v="1"/>
  </r>
  <r>
    <x v="326"/>
    <x v="24"/>
    <n v="4.5"/>
    <x v="322"/>
    <n v="5"/>
    <x v="5"/>
    <x v="1"/>
  </r>
  <r>
    <x v="327"/>
    <x v="230"/>
    <n v="4.8"/>
    <x v="323"/>
    <n v="16"/>
    <x v="6"/>
    <x v="0"/>
  </r>
  <r>
    <x v="327"/>
    <x v="230"/>
    <n v="4.8"/>
    <x v="323"/>
    <n v="16"/>
    <x v="1"/>
    <x v="0"/>
  </r>
  <r>
    <x v="327"/>
    <x v="230"/>
    <n v="4.8"/>
    <x v="323"/>
    <n v="16"/>
    <x v="10"/>
    <x v="0"/>
  </r>
  <r>
    <x v="327"/>
    <x v="230"/>
    <n v="4.8"/>
    <x v="323"/>
    <n v="13"/>
    <x v="5"/>
    <x v="0"/>
  </r>
  <r>
    <x v="327"/>
    <x v="230"/>
    <n v="4.8"/>
    <x v="323"/>
    <n v="16"/>
    <x v="5"/>
    <x v="0"/>
  </r>
  <r>
    <x v="328"/>
    <x v="1"/>
    <n v="4.3"/>
    <x v="324"/>
    <n v="20"/>
    <x v="7"/>
    <x v="1"/>
  </r>
  <r>
    <x v="329"/>
    <x v="113"/>
    <n v="4.9000000000000004"/>
    <x v="325"/>
    <n v="11"/>
    <x v="4"/>
    <x v="0"/>
  </r>
  <r>
    <x v="330"/>
    <x v="231"/>
    <n v="4.8"/>
    <x v="326"/>
    <n v="4"/>
    <x v="4"/>
    <x v="0"/>
  </r>
  <r>
    <x v="331"/>
    <x v="103"/>
    <n v="4.7"/>
    <x v="327"/>
    <n v="9"/>
    <x v="0"/>
    <x v="0"/>
  </r>
  <r>
    <x v="332"/>
    <x v="232"/>
    <n v="4.8"/>
    <x v="328"/>
    <n v="42"/>
    <x v="7"/>
    <x v="1"/>
  </r>
  <r>
    <x v="333"/>
    <x v="233"/>
    <n v="4.5"/>
    <x v="329"/>
    <n v="12"/>
    <x v="1"/>
    <x v="1"/>
  </r>
  <r>
    <x v="334"/>
    <x v="234"/>
    <n v="4.5999999999999996"/>
    <x v="330"/>
    <n v="18"/>
    <x v="3"/>
    <x v="0"/>
  </r>
  <r>
    <x v="335"/>
    <x v="235"/>
    <n v="4.7"/>
    <x v="331"/>
    <n v="17"/>
    <x v="5"/>
    <x v="0"/>
  </r>
  <r>
    <x v="336"/>
    <x v="131"/>
    <n v="4.7"/>
    <x v="332"/>
    <n v="14"/>
    <x v="8"/>
    <x v="1"/>
  </r>
  <r>
    <x v="337"/>
    <x v="236"/>
    <n v="4.8"/>
    <x v="333"/>
    <n v="13"/>
    <x v="4"/>
    <x v="1"/>
  </r>
  <r>
    <x v="338"/>
    <x v="237"/>
    <n v="4.4000000000000004"/>
    <x v="334"/>
    <n v="9"/>
    <x v="1"/>
    <x v="0"/>
  </r>
  <r>
    <x v="339"/>
    <x v="238"/>
    <n v="4.4000000000000004"/>
    <x v="335"/>
    <n v="6"/>
    <x v="10"/>
    <x v="0"/>
  </r>
  <r>
    <x v="339"/>
    <x v="238"/>
    <n v="4.4000000000000004"/>
    <x v="335"/>
    <n v="6"/>
    <x v="9"/>
    <x v="0"/>
  </r>
  <r>
    <x v="340"/>
    <x v="239"/>
    <n v="4.8"/>
    <x v="336"/>
    <n v="14"/>
    <x v="0"/>
    <x v="0"/>
  </r>
  <r>
    <x v="341"/>
    <x v="240"/>
    <n v="4.8"/>
    <x v="337"/>
    <n v="15"/>
    <x v="4"/>
    <x v="1"/>
  </r>
  <r>
    <x v="342"/>
    <x v="241"/>
    <n v="4.8"/>
    <x v="338"/>
    <n v="13"/>
    <x v="7"/>
    <x v="1"/>
  </r>
  <r>
    <x v="343"/>
    <x v="242"/>
    <n v="4.5999999999999996"/>
    <x v="339"/>
    <n v="12"/>
    <x v="2"/>
    <x v="0"/>
  </r>
  <r>
    <x v="344"/>
    <x v="243"/>
    <n v="4.4000000000000004"/>
    <x v="340"/>
    <n v="18"/>
    <x v="10"/>
    <x v="0"/>
  </r>
  <r>
    <x v="345"/>
    <x v="244"/>
    <n v="4.5"/>
    <x v="341"/>
    <n v="15"/>
    <x v="10"/>
    <x v="1"/>
  </r>
  <r>
    <x v="346"/>
    <x v="245"/>
    <n v="4.2"/>
    <x v="342"/>
    <n v="11"/>
    <x v="6"/>
    <x v="0"/>
  </r>
  <r>
    <x v="347"/>
    <x v="246"/>
    <n v="4.8"/>
    <x v="343"/>
    <n v="9"/>
    <x v="9"/>
    <x v="1"/>
  </r>
  <r>
    <x v="347"/>
    <x v="246"/>
    <n v="4.8"/>
    <x v="343"/>
    <n v="9"/>
    <x v="5"/>
    <x v="1"/>
  </r>
  <r>
    <x v="347"/>
    <x v="246"/>
    <n v="4.8"/>
    <x v="343"/>
    <n v="9"/>
    <x v="8"/>
    <x v="1"/>
  </r>
  <r>
    <x v="347"/>
    <x v="246"/>
    <n v="4.8"/>
    <x v="343"/>
    <n v="9"/>
    <x v="0"/>
    <x v="1"/>
  </r>
  <r>
    <x v="347"/>
    <x v="246"/>
    <n v="4.8"/>
    <x v="343"/>
    <n v="9"/>
    <x v="3"/>
    <x v="1"/>
  </r>
  <r>
    <x v="348"/>
    <x v="33"/>
    <n v="4.9000000000000004"/>
    <x v="344"/>
    <n v="8"/>
    <x v="4"/>
    <x v="1"/>
  </r>
  <r>
    <x v="349"/>
    <x v="247"/>
    <n v="4.7"/>
    <x v="345"/>
    <n v="8"/>
    <x v="0"/>
    <x v="0"/>
  </r>
  <r>
    <x v="349"/>
    <x v="247"/>
    <n v="4.7"/>
    <x v="345"/>
    <n v="8"/>
    <x v="3"/>
    <x v="0"/>
  </r>
  <r>
    <x v="349"/>
    <x v="247"/>
    <n v="4.7"/>
    <x v="345"/>
    <n v="8"/>
    <x v="2"/>
    <x v="0"/>
  </r>
  <r>
    <x v="349"/>
    <x v="247"/>
    <n v="4.7"/>
    <x v="345"/>
    <n v="8"/>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B8EE7-8970-4A50-BD0F-AEAAE3F2DE1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7">
    <pivotField showAll="0"/>
    <pivotField showAll="0"/>
    <pivotField showAll="0"/>
    <pivotField showAll="0">
      <items count="13">
        <item x="0"/>
        <item x="1"/>
        <item x="2"/>
        <item x="3"/>
        <item x="4"/>
        <item x="5"/>
        <item x="6"/>
        <item x="7"/>
        <item x="8"/>
        <item x="9"/>
        <item x="10"/>
        <item x="11"/>
        <item t="default"/>
      </items>
    </pivotField>
    <pivotField showAll="0"/>
    <pivotField showAll="0"/>
    <pivotField dataField="1" showAll="0"/>
  </pivotFields>
  <rowItems count="1">
    <i/>
  </rowItems>
  <colItems count="1">
    <i/>
  </colItems>
  <dataFields count="1">
    <dataField name="Count of Genre" fld="6" subtotal="count" baseField="0" baseItem="0"/>
  </dataFields>
  <formats count="6">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3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75F320-5E73-499C-B727-7164D467EB27}" name="PivotTable4"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Row lables">
  <location ref="E7:F17" firstHeaderRow="1" firstDataRow="1" firstDataCol="1"/>
  <pivotFields count="7">
    <pivotField showAll="0"/>
    <pivotField axis="axisRow" showAll="0" measureFilter="1" sortType="descending">
      <items count="249">
        <item x="51"/>
        <item x="137"/>
        <item x="210"/>
        <item x="238"/>
        <item x="111"/>
        <item x="160"/>
        <item x="18"/>
        <item x="149"/>
        <item x="48"/>
        <item x="88"/>
        <item x="227"/>
        <item x="158"/>
        <item x="226"/>
        <item x="36"/>
        <item x="172"/>
        <item x="201"/>
        <item x="242"/>
        <item x="203"/>
        <item x="146"/>
        <item x="57"/>
        <item x="29"/>
        <item x="37"/>
        <item x="141"/>
        <item x="182"/>
        <item x="153"/>
        <item x="12"/>
        <item x="31"/>
        <item x="161"/>
        <item x="1"/>
        <item x="197"/>
        <item x="231"/>
        <item x="110"/>
        <item x="80"/>
        <item x="147"/>
        <item x="86"/>
        <item x="34"/>
        <item x="104"/>
        <item x="75"/>
        <item x="233"/>
        <item x="183"/>
        <item x="145"/>
        <item x="144"/>
        <item x="123"/>
        <item x="16"/>
        <item x="64"/>
        <item x="46"/>
        <item x="120"/>
        <item x="228"/>
        <item x="108"/>
        <item x="119"/>
        <item x="136"/>
        <item x="66"/>
        <item x="205"/>
        <item x="191"/>
        <item x="59"/>
        <item x="193"/>
        <item x="235"/>
        <item x="82"/>
        <item x="72"/>
        <item x="246"/>
        <item x="77"/>
        <item x="177"/>
        <item x="84"/>
        <item x="69"/>
        <item x="130"/>
        <item x="162"/>
        <item x="204"/>
        <item x="181"/>
        <item x="239"/>
        <item x="194"/>
        <item x="179"/>
        <item x="112"/>
        <item x="22"/>
        <item x="4"/>
        <item x="151"/>
        <item x="135"/>
        <item x="178"/>
        <item x="87"/>
        <item x="157"/>
        <item x="27"/>
        <item x="63"/>
        <item x="65"/>
        <item x="165"/>
        <item x="217"/>
        <item x="241"/>
        <item x="186"/>
        <item x="53"/>
        <item x="169"/>
        <item x="23"/>
        <item x="113"/>
        <item x="129"/>
        <item x="212"/>
        <item x="166"/>
        <item x="41"/>
        <item x="196"/>
        <item x="79"/>
        <item x="187"/>
        <item x="44"/>
        <item x="11"/>
        <item x="50"/>
        <item x="103"/>
        <item x="83"/>
        <item x="192"/>
        <item x="230"/>
        <item x="9"/>
        <item x="202"/>
        <item x="20"/>
        <item x="40"/>
        <item x="244"/>
        <item x="114"/>
        <item x="190"/>
        <item x="148"/>
        <item x="122"/>
        <item x="2"/>
        <item x="188"/>
        <item x="175"/>
        <item x="224"/>
        <item x="67"/>
        <item x="155"/>
        <item x="118"/>
        <item x="58"/>
        <item x="56"/>
        <item x="90"/>
        <item x="0"/>
        <item x="78"/>
        <item x="109"/>
        <item x="102"/>
        <item x="247"/>
        <item x="33"/>
        <item x="10"/>
        <item x="223"/>
        <item x="96"/>
        <item x="200"/>
        <item x="7"/>
        <item x="60"/>
        <item x="85"/>
        <item x="89"/>
        <item x="26"/>
        <item x="150"/>
        <item x="92"/>
        <item x="95"/>
        <item x="234"/>
        <item x="237"/>
        <item x="73"/>
        <item x="225"/>
        <item x="140"/>
        <item x="21"/>
        <item x="76"/>
        <item x="71"/>
        <item x="47"/>
        <item x="68"/>
        <item x="5"/>
        <item x="3"/>
        <item x="245"/>
        <item x="98"/>
        <item x="159"/>
        <item x="164"/>
        <item x="152"/>
        <item x="8"/>
        <item x="39"/>
        <item x="185"/>
        <item x="209"/>
        <item x="143"/>
        <item x="99"/>
        <item x="216"/>
        <item x="218"/>
        <item x="132"/>
        <item x="128"/>
        <item x="229"/>
        <item x="163"/>
        <item x="138"/>
        <item x="62"/>
        <item x="176"/>
        <item x="206"/>
        <item x="131"/>
        <item x="156"/>
        <item x="184"/>
        <item x="180"/>
        <item x="24"/>
        <item x="215"/>
        <item x="240"/>
        <item x="174"/>
        <item x="207"/>
        <item x="55"/>
        <item x="142"/>
        <item x="81"/>
        <item x="220"/>
        <item x="105"/>
        <item x="35"/>
        <item x="214"/>
        <item x="52"/>
        <item x="195"/>
        <item x="222"/>
        <item x="171"/>
        <item x="54"/>
        <item x="100"/>
        <item x="91"/>
        <item x="126"/>
        <item x="219"/>
        <item x="15"/>
        <item x="101"/>
        <item x="134"/>
        <item x="38"/>
        <item x="19"/>
        <item x="115"/>
        <item x="154"/>
        <item x="198"/>
        <item x="243"/>
        <item x="221"/>
        <item x="208"/>
        <item x="45"/>
        <item x="117"/>
        <item x="125"/>
        <item x="30"/>
        <item x="70"/>
        <item x="43"/>
        <item x="93"/>
        <item x="61"/>
        <item x="14"/>
        <item x="168"/>
        <item x="106"/>
        <item x="32"/>
        <item x="167"/>
        <item x="170"/>
        <item x="213"/>
        <item x="28"/>
        <item x="17"/>
        <item x="107"/>
        <item x="97"/>
        <item x="133"/>
        <item x="189"/>
        <item x="25"/>
        <item x="199"/>
        <item x="127"/>
        <item x="173"/>
        <item x="6"/>
        <item x="139"/>
        <item x="49"/>
        <item x="94"/>
        <item x="116"/>
        <item x="211"/>
        <item x="232"/>
        <item x="13"/>
        <item x="121"/>
        <item x="236"/>
        <item x="74"/>
        <item x="124"/>
        <item x="42"/>
        <item t="default"/>
      </items>
    </pivotField>
    <pivotField showAll="0"/>
    <pivotField dataField="1" showAll="0">
      <items count="13">
        <item x="0"/>
        <item x="1"/>
        <item x="2"/>
        <item x="3"/>
        <item x="4"/>
        <item x="5"/>
        <item x="6"/>
        <item x="7"/>
        <item x="8"/>
        <item x="9"/>
        <item x="10"/>
        <item x="11"/>
        <item t="default"/>
      </items>
    </pivotField>
    <pivotField showAll="0"/>
    <pivotField showAll="0"/>
    <pivotField showAll="0">
      <items count="3">
        <item x="1"/>
        <item h="1" x="0"/>
        <item t="default"/>
      </items>
    </pivotField>
  </pivotFields>
  <rowFields count="1">
    <field x="1"/>
  </rowFields>
  <rowItems count="10">
    <i>
      <x v="21"/>
    </i>
    <i>
      <x v="59"/>
    </i>
    <i>
      <x v="67"/>
    </i>
    <i>
      <x v="105"/>
    </i>
    <i>
      <x v="119"/>
    </i>
    <i>
      <x v="143"/>
    </i>
    <i>
      <x v="147"/>
    </i>
    <i>
      <x v="164"/>
    </i>
    <i>
      <x v="171"/>
    </i>
    <i>
      <x v="174"/>
    </i>
  </rowItems>
  <colItems count="1">
    <i/>
  </colItems>
  <dataFields count="1">
    <dataField name="Sum of Reviews" fld="3" baseField="0" baseItem="0"/>
  </dataFields>
  <formats count="8">
    <format dxfId="10">
      <pivotArea dataOnly="0" labelOnly="1" outline="0" axis="axisValues" fieldPosition="0"/>
    </format>
    <format dxfId="11">
      <pivotArea outline="0" collapsedLevelsAreSubtotals="1" fieldPosition="0"/>
    </format>
    <format dxfId="12">
      <pivotArea type="all" dataOnly="0" outline="0" fieldPosition="0"/>
    </format>
    <format dxfId="13">
      <pivotArea outline="0" collapsedLevelsAreSubtotals="1" fieldPosition="0"/>
    </format>
    <format dxfId="14">
      <pivotArea field="1" type="button" dataOnly="0" labelOnly="1" outline="0" axis="axisRow" fieldPosition="0"/>
    </format>
    <format dxfId="15">
      <pivotArea dataOnly="0" labelOnly="1" fieldPosition="0">
        <references count="1">
          <reference field="1" count="10">
            <x v="21"/>
            <x v="67"/>
            <x v="103"/>
            <x v="119"/>
            <x v="143"/>
            <x v="147"/>
            <x v="155"/>
            <x v="171"/>
            <x v="174"/>
            <x v="177"/>
          </reference>
        </references>
      </pivotArea>
    </format>
    <format dxfId="16">
      <pivotArea dataOnly="0" labelOnly="1" outline="0" axis="axisValues" fieldPosition="0"/>
    </format>
    <format dxfId="17">
      <pivotArea collapsedLevelsAreSubtotals="1" fieldPosition="0">
        <references count="1">
          <reference field="1" count="1">
            <x v="21"/>
          </reference>
        </references>
      </pivotArea>
    </format>
  </formats>
  <conditionalFormats count="2">
    <conditionalFormat priority="6">
      <pivotAreas count="1">
        <pivotArea type="data" collapsedLevelsAreSubtotals="1" fieldPosition="0">
          <references count="2">
            <reference field="4294967294" count="1" selected="0">
              <x v="0"/>
            </reference>
            <reference field="1" count="1">
              <x v="21"/>
            </reference>
          </references>
        </pivotArea>
      </pivotAreas>
    </conditionalFormat>
    <conditionalFormat priority="3">
      <pivotAreas count="1">
        <pivotArea type="data" collapsedLevelsAreSubtotals="1" fieldPosition="0">
          <references count="2">
            <reference field="4294967294" count="1" selected="0">
              <x v="0"/>
            </reference>
            <reference field="1" count="1">
              <x v="21"/>
            </reference>
          </references>
        </pivotArea>
      </pivotAreas>
    </conditionalFormat>
  </conditionalFormats>
  <chartFormats count="3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1"/>
          </reference>
        </references>
      </pivotArea>
    </chartFormat>
    <chartFormat chart="3" format="4">
      <pivotArea type="data" outline="0" fieldPosition="0">
        <references count="2">
          <reference field="4294967294" count="1" selected="0">
            <x v="0"/>
          </reference>
          <reference field="1" count="1" selected="0">
            <x v="67"/>
          </reference>
        </references>
      </pivotArea>
    </chartFormat>
    <chartFormat chart="3" format="5">
      <pivotArea type="data" outline="0" fieldPosition="0">
        <references count="2">
          <reference field="4294967294" count="1" selected="0">
            <x v="0"/>
          </reference>
          <reference field="1" count="1" selected="0">
            <x v="103"/>
          </reference>
        </references>
      </pivotArea>
    </chartFormat>
    <chartFormat chart="3" format="6">
      <pivotArea type="data" outline="0" fieldPosition="0">
        <references count="2">
          <reference field="4294967294" count="1" selected="0">
            <x v="0"/>
          </reference>
          <reference field="1" count="1" selected="0">
            <x v="119"/>
          </reference>
        </references>
      </pivotArea>
    </chartFormat>
    <chartFormat chart="3" format="7">
      <pivotArea type="data" outline="0" fieldPosition="0">
        <references count="2">
          <reference field="4294967294" count="1" selected="0">
            <x v="0"/>
          </reference>
          <reference field="1" count="1" selected="0">
            <x v="143"/>
          </reference>
        </references>
      </pivotArea>
    </chartFormat>
    <chartFormat chart="3" format="8">
      <pivotArea type="data" outline="0" fieldPosition="0">
        <references count="2">
          <reference field="4294967294" count="1" selected="0">
            <x v="0"/>
          </reference>
          <reference field="1" count="1" selected="0">
            <x v="147"/>
          </reference>
        </references>
      </pivotArea>
    </chartFormat>
    <chartFormat chart="3" format="9">
      <pivotArea type="data" outline="0" fieldPosition="0">
        <references count="2">
          <reference field="4294967294" count="1" selected="0">
            <x v="0"/>
          </reference>
          <reference field="1" count="1" selected="0">
            <x v="155"/>
          </reference>
        </references>
      </pivotArea>
    </chartFormat>
    <chartFormat chart="3" format="10">
      <pivotArea type="data" outline="0" fieldPosition="0">
        <references count="2">
          <reference field="4294967294" count="1" selected="0">
            <x v="0"/>
          </reference>
          <reference field="1" count="1" selected="0">
            <x v="171"/>
          </reference>
        </references>
      </pivotArea>
    </chartFormat>
    <chartFormat chart="3" format="11">
      <pivotArea type="data" outline="0" fieldPosition="0">
        <references count="2">
          <reference field="4294967294" count="1" selected="0">
            <x v="0"/>
          </reference>
          <reference field="1" count="1" selected="0">
            <x v="174"/>
          </reference>
        </references>
      </pivotArea>
    </chartFormat>
    <chartFormat chart="3" format="12">
      <pivotArea type="data" outline="0" fieldPosition="0">
        <references count="2">
          <reference field="4294967294" count="1" selected="0">
            <x v="0"/>
          </reference>
          <reference field="1" count="1" selected="0">
            <x v="177"/>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1" count="1" selected="0">
            <x v="21"/>
          </reference>
        </references>
      </pivotArea>
    </chartFormat>
    <chartFormat chart="10" format="26">
      <pivotArea type="data" outline="0" fieldPosition="0">
        <references count="2">
          <reference field="4294967294" count="1" selected="0">
            <x v="0"/>
          </reference>
          <reference field="1" count="1" selected="0">
            <x v="67"/>
          </reference>
        </references>
      </pivotArea>
    </chartFormat>
    <chartFormat chart="10" format="27">
      <pivotArea type="data" outline="0" fieldPosition="0">
        <references count="2">
          <reference field="4294967294" count="1" selected="0">
            <x v="0"/>
          </reference>
          <reference field="1" count="1" selected="0">
            <x v="103"/>
          </reference>
        </references>
      </pivotArea>
    </chartFormat>
    <chartFormat chart="10" format="28">
      <pivotArea type="data" outline="0" fieldPosition="0">
        <references count="2">
          <reference field="4294967294" count="1" selected="0">
            <x v="0"/>
          </reference>
          <reference field="1" count="1" selected="0">
            <x v="119"/>
          </reference>
        </references>
      </pivotArea>
    </chartFormat>
    <chartFormat chart="10" format="29">
      <pivotArea type="data" outline="0" fieldPosition="0">
        <references count="2">
          <reference field="4294967294" count="1" selected="0">
            <x v="0"/>
          </reference>
          <reference field="1" count="1" selected="0">
            <x v="143"/>
          </reference>
        </references>
      </pivotArea>
    </chartFormat>
    <chartFormat chart="10" format="30">
      <pivotArea type="data" outline="0" fieldPosition="0">
        <references count="2">
          <reference field="4294967294" count="1" selected="0">
            <x v="0"/>
          </reference>
          <reference field="1" count="1" selected="0">
            <x v="147"/>
          </reference>
        </references>
      </pivotArea>
    </chartFormat>
    <chartFormat chart="10" format="31">
      <pivotArea type="data" outline="0" fieldPosition="0">
        <references count="2">
          <reference field="4294967294" count="1" selected="0">
            <x v="0"/>
          </reference>
          <reference field="1" count="1" selected="0">
            <x v="155"/>
          </reference>
        </references>
      </pivotArea>
    </chartFormat>
    <chartFormat chart="10" format="32">
      <pivotArea type="data" outline="0" fieldPosition="0">
        <references count="2">
          <reference field="4294967294" count="1" selected="0">
            <x v="0"/>
          </reference>
          <reference field="1" count="1" selected="0">
            <x v="171"/>
          </reference>
        </references>
      </pivotArea>
    </chartFormat>
    <chartFormat chart="10" format="33">
      <pivotArea type="data" outline="0" fieldPosition="0">
        <references count="2">
          <reference field="4294967294" count="1" selected="0">
            <x v="0"/>
          </reference>
          <reference field="1" count="1" selected="0">
            <x v="174"/>
          </reference>
        </references>
      </pivotArea>
    </chartFormat>
    <chartFormat chart="10" format="34">
      <pivotArea type="data" outline="0" fieldPosition="0">
        <references count="2">
          <reference field="4294967294" count="1" selected="0">
            <x v="0"/>
          </reference>
          <reference field="1" count="1" selected="0">
            <x v="177"/>
          </reference>
        </references>
      </pivotArea>
    </chartFormat>
    <chartFormat chart="10" format="35">
      <pivotArea type="data" outline="0" fieldPosition="0">
        <references count="2">
          <reference field="4294967294" count="1" selected="0">
            <x v="0"/>
          </reference>
          <reference field="1" count="1" selected="0">
            <x v="196"/>
          </reference>
        </references>
      </pivotArea>
    </chartFormat>
    <chartFormat chart="10" format="36">
      <pivotArea type="data" outline="0" fieldPosition="0">
        <references count="2">
          <reference field="4294967294" count="1" selected="0">
            <x v="0"/>
          </reference>
          <reference field="1" count="1" selected="0">
            <x v="236"/>
          </reference>
        </references>
      </pivotArea>
    </chartFormat>
    <chartFormat chart="10" format="37">
      <pivotArea type="data" outline="0" fieldPosition="0">
        <references count="2">
          <reference field="4294967294" count="1" selected="0">
            <x v="0"/>
          </reference>
          <reference field="1" count="1" selected="0">
            <x v="94"/>
          </reference>
        </references>
      </pivotArea>
    </chartFormat>
    <chartFormat chart="10" format="38">
      <pivotArea type="data" outline="0" fieldPosition="0">
        <references count="2">
          <reference field="4294967294" count="1" selected="0">
            <x v="0"/>
          </reference>
          <reference field="1" count="1" selected="0">
            <x v="91"/>
          </reference>
        </references>
      </pivotArea>
    </chartFormat>
    <chartFormat chart="10" format="39">
      <pivotArea type="data" outline="0" fieldPosition="0">
        <references count="2">
          <reference field="4294967294" count="1" selected="0">
            <x v="0"/>
          </reference>
          <reference field="1" count="1" selected="0">
            <x v="79"/>
          </reference>
        </references>
      </pivotArea>
    </chartFormat>
    <chartFormat chart="10" format="40">
      <pivotArea type="data" outline="0" fieldPosition="0">
        <references count="2">
          <reference field="4294967294" count="1" selected="0">
            <x v="0"/>
          </reference>
          <reference field="1" count="1" selected="0">
            <x v="44"/>
          </reference>
        </references>
      </pivotArea>
    </chartFormat>
    <chartFormat chart="10" format="41">
      <pivotArea type="data" outline="0" fieldPosition="0">
        <references count="2">
          <reference field="4294967294" count="1" selected="0">
            <x v="0"/>
          </reference>
          <reference field="1" count="1" selected="0">
            <x v="36"/>
          </reference>
        </references>
      </pivotArea>
    </chartFormat>
    <chartFormat chart="10" format="42">
      <pivotArea type="data" outline="0" fieldPosition="0">
        <references count="2">
          <reference field="4294967294" count="1" selected="0">
            <x v="0"/>
          </reference>
          <reference field="1" count="1" selected="0">
            <x v="105"/>
          </reference>
        </references>
      </pivotArea>
    </chartFormat>
    <chartFormat chart="10" format="43">
      <pivotArea type="data" outline="0" fieldPosition="0">
        <references count="2">
          <reference field="4294967294" count="1" selected="0">
            <x v="0"/>
          </reference>
          <reference field="1" count="1" selected="0">
            <x v="164"/>
          </reference>
        </references>
      </pivotArea>
    </chartFormat>
    <chartFormat chart="10" format="44">
      <pivotArea type="data" outline="0" fieldPosition="0">
        <references count="2">
          <reference field="4294967294" count="1" selected="0">
            <x v="0"/>
          </reference>
          <reference field="1" count="1" selected="0">
            <x v="59"/>
          </reference>
        </references>
      </pivotArea>
    </chartFormat>
  </chartFormat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12C60A-7063-44B9-A89E-7F37E4F8ABA8}"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dataField="1" showAll="0"/>
    <pivotField showAll="0">
      <items count="13">
        <item x="0"/>
        <item x="1"/>
        <item x="2"/>
        <item x="3"/>
        <item x="4"/>
        <item x="5"/>
        <item x="6"/>
        <item x="7"/>
        <item x="8"/>
        <item x="9"/>
        <item x="10"/>
        <item x="11"/>
        <item t="default"/>
      </items>
    </pivotField>
    <pivotField showAll="0"/>
    <pivotField showAll="0"/>
    <pivotField showAll="0"/>
  </pivotFields>
  <rowItems count="1">
    <i/>
  </rowItems>
  <colItems count="1">
    <i/>
  </colItems>
  <dataFields count="1">
    <dataField name="Average of User Rating" fld="2" subtotal="average" baseField="0" baseItem="0" numFmtId="2"/>
  </dataFields>
  <formats count="7">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19">
      <pivotArea dataOnly="0" labelOnly="1" outline="0" axis="axisValues" fieldPosition="0"/>
    </format>
  </formats>
  <pivotTableStyleInfo name="PivotStyleLight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5A2AC-2F26-4503-A33D-93315BC99C9C}" name="PivotTable7"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Row Lables">
  <location ref="L7:M18" firstHeaderRow="1" firstDataRow="1" firstDataCol="1"/>
  <pivotFields count="7">
    <pivotField showAll="0"/>
    <pivotField showAll="0"/>
    <pivotField showAll="0"/>
    <pivotField showAll="0"/>
    <pivotField dataField="1" showAll="0"/>
    <pivotField axis="axisRow" showAll="0">
      <items count="12">
        <item x="7"/>
        <item x="6"/>
        <item x="1"/>
        <item x="10"/>
        <item x="9"/>
        <item x="5"/>
        <item x="8"/>
        <item x="0"/>
        <item x="3"/>
        <item x="2"/>
        <item x="4"/>
        <item t="default"/>
      </items>
    </pivotField>
    <pivotField showAll="0"/>
  </pivotFields>
  <rowFields count="1">
    <field x="5"/>
  </rowFields>
  <rowItems count="11">
    <i>
      <x/>
    </i>
    <i>
      <x v="1"/>
    </i>
    <i>
      <x v="2"/>
    </i>
    <i>
      <x v="3"/>
    </i>
    <i>
      <x v="4"/>
    </i>
    <i>
      <x v="5"/>
    </i>
    <i>
      <x v="6"/>
    </i>
    <i>
      <x v="7"/>
    </i>
    <i>
      <x v="8"/>
    </i>
    <i>
      <x v="9"/>
    </i>
    <i>
      <x v="10"/>
    </i>
  </rowItems>
  <colItems count="1">
    <i/>
  </colItems>
  <dataFields count="1">
    <dataField name="Sum of Price" fld="4" baseField="0" baseItem="0" numFmtId="44"/>
  </dataFields>
  <formats count="1">
    <format dxfId="44">
      <pivotArea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5" count="1">
              <x v="0"/>
            </reference>
          </references>
        </pivotArea>
      </pivotAreas>
    </conditionalFormat>
  </conditionalFormats>
  <chartFormats count="4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0"/>
          </reference>
        </references>
      </pivotArea>
    </chartFormat>
    <chartFormat chart="3" format="4">
      <pivotArea type="data" outline="0" fieldPosition="0">
        <references count="2">
          <reference field="4294967294" count="1" selected="0">
            <x v="0"/>
          </reference>
          <reference field="5" count="1" selected="0">
            <x v="9"/>
          </reference>
        </references>
      </pivotArea>
    </chartFormat>
    <chartFormat chart="3" format="5">
      <pivotArea type="data" outline="0" fieldPosition="0">
        <references count="2">
          <reference field="4294967294" count="1" selected="0">
            <x v="0"/>
          </reference>
          <reference field="5" count="1" selected="0">
            <x v="8"/>
          </reference>
        </references>
      </pivotArea>
    </chartFormat>
    <chartFormat chart="3" format="6">
      <pivotArea type="data" outline="0" fieldPosition="0">
        <references count="2">
          <reference field="4294967294" count="1" selected="0">
            <x v="0"/>
          </reference>
          <reference field="5" count="1" selected="0">
            <x v="7"/>
          </reference>
        </references>
      </pivotArea>
    </chartFormat>
    <chartFormat chart="3" format="7">
      <pivotArea type="data" outline="0" fieldPosition="0">
        <references count="2">
          <reference field="4294967294" count="1" selected="0">
            <x v="0"/>
          </reference>
          <reference field="5" count="1" selected="0">
            <x v="6"/>
          </reference>
        </references>
      </pivotArea>
    </chartFormat>
    <chartFormat chart="3" format="8">
      <pivotArea type="data" outline="0" fieldPosition="0">
        <references count="2">
          <reference field="4294967294" count="1" selected="0">
            <x v="0"/>
          </reference>
          <reference field="5" count="1" selected="0">
            <x v="5"/>
          </reference>
        </references>
      </pivotArea>
    </chartFormat>
    <chartFormat chart="3" format="9">
      <pivotArea type="data" outline="0" fieldPosition="0">
        <references count="2">
          <reference field="4294967294" count="1" selected="0">
            <x v="0"/>
          </reference>
          <reference field="5" count="1" selected="0">
            <x v="4"/>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5" count="1" selected="0">
            <x v="0"/>
          </reference>
        </references>
      </pivotArea>
    </chartFormat>
    <chartFormat chart="5" format="16">
      <pivotArea type="data" outline="0" fieldPosition="0">
        <references count="2">
          <reference field="4294967294" count="1" selected="0">
            <x v="0"/>
          </reference>
          <reference field="5" count="1" selected="0">
            <x v="1"/>
          </reference>
        </references>
      </pivotArea>
    </chartFormat>
    <chartFormat chart="5" format="17">
      <pivotArea type="data" outline="0" fieldPosition="0">
        <references count="2">
          <reference field="4294967294" count="1" selected="0">
            <x v="0"/>
          </reference>
          <reference field="5" count="1" selected="0">
            <x v="2"/>
          </reference>
        </references>
      </pivotArea>
    </chartFormat>
    <chartFormat chart="5" format="18">
      <pivotArea type="data" outline="0" fieldPosition="0">
        <references count="2">
          <reference field="4294967294" count="1" selected="0">
            <x v="0"/>
          </reference>
          <reference field="5" count="1" selected="0">
            <x v="3"/>
          </reference>
        </references>
      </pivotArea>
    </chartFormat>
    <chartFormat chart="5" format="19">
      <pivotArea type="data" outline="0" fieldPosition="0">
        <references count="2">
          <reference field="4294967294" count="1" selected="0">
            <x v="0"/>
          </reference>
          <reference field="5" count="1" selected="0">
            <x v="4"/>
          </reference>
        </references>
      </pivotArea>
    </chartFormat>
    <chartFormat chart="5" format="20">
      <pivotArea type="data" outline="0" fieldPosition="0">
        <references count="2">
          <reference field="4294967294" count="1" selected="0">
            <x v="0"/>
          </reference>
          <reference field="5" count="1" selected="0">
            <x v="5"/>
          </reference>
        </references>
      </pivotArea>
    </chartFormat>
    <chartFormat chart="5" format="21">
      <pivotArea type="data" outline="0" fieldPosition="0">
        <references count="2">
          <reference field="4294967294" count="1" selected="0">
            <x v="0"/>
          </reference>
          <reference field="5" count="1" selected="0">
            <x v="6"/>
          </reference>
        </references>
      </pivotArea>
    </chartFormat>
    <chartFormat chart="5" format="22">
      <pivotArea type="data" outline="0" fieldPosition="0">
        <references count="2">
          <reference field="4294967294" count="1" selected="0">
            <x v="0"/>
          </reference>
          <reference field="5" count="1" selected="0">
            <x v="7"/>
          </reference>
        </references>
      </pivotArea>
    </chartFormat>
    <chartFormat chart="5" format="23">
      <pivotArea type="data" outline="0" fieldPosition="0">
        <references count="2">
          <reference field="4294967294" count="1" selected="0">
            <x v="0"/>
          </reference>
          <reference field="5" count="1" selected="0">
            <x v="8"/>
          </reference>
        </references>
      </pivotArea>
    </chartFormat>
    <chartFormat chart="5" format="24">
      <pivotArea type="data" outline="0" fieldPosition="0">
        <references count="2">
          <reference field="4294967294" count="1" selected="0">
            <x v="0"/>
          </reference>
          <reference field="5" count="1" selected="0">
            <x v="9"/>
          </reference>
        </references>
      </pivotArea>
    </chartFormat>
    <chartFormat chart="5" format="25">
      <pivotArea type="data" outline="0" fieldPosition="0">
        <references count="2">
          <reference field="4294967294" count="1" selected="0">
            <x v="0"/>
          </reference>
          <reference field="5" count="1" selected="0">
            <x v="10"/>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5" count="1" selected="0">
            <x v="0"/>
          </reference>
        </references>
      </pivotArea>
    </chartFormat>
    <chartFormat chart="6" format="28">
      <pivotArea type="data" outline="0" fieldPosition="0">
        <references count="2">
          <reference field="4294967294" count="1" selected="0">
            <x v="0"/>
          </reference>
          <reference field="5" count="1" selected="0">
            <x v="1"/>
          </reference>
        </references>
      </pivotArea>
    </chartFormat>
    <chartFormat chart="6" format="29">
      <pivotArea type="data" outline="0" fieldPosition="0">
        <references count="2">
          <reference field="4294967294" count="1" selected="0">
            <x v="0"/>
          </reference>
          <reference field="5" count="1" selected="0">
            <x v="2"/>
          </reference>
        </references>
      </pivotArea>
    </chartFormat>
    <chartFormat chart="6" format="30">
      <pivotArea type="data" outline="0" fieldPosition="0">
        <references count="2">
          <reference field="4294967294" count="1" selected="0">
            <x v="0"/>
          </reference>
          <reference field="5" count="1" selected="0">
            <x v="3"/>
          </reference>
        </references>
      </pivotArea>
    </chartFormat>
    <chartFormat chart="6" format="31">
      <pivotArea type="data" outline="0" fieldPosition="0">
        <references count="2">
          <reference field="4294967294" count="1" selected="0">
            <x v="0"/>
          </reference>
          <reference field="5" count="1" selected="0">
            <x v="4"/>
          </reference>
        </references>
      </pivotArea>
    </chartFormat>
    <chartFormat chart="6" format="32">
      <pivotArea type="data" outline="0" fieldPosition="0">
        <references count="2">
          <reference field="4294967294" count="1" selected="0">
            <x v="0"/>
          </reference>
          <reference field="5" count="1" selected="0">
            <x v="5"/>
          </reference>
        </references>
      </pivotArea>
    </chartFormat>
    <chartFormat chart="6" format="33">
      <pivotArea type="data" outline="0" fieldPosition="0">
        <references count="2">
          <reference field="4294967294" count="1" selected="0">
            <x v="0"/>
          </reference>
          <reference field="5" count="1" selected="0">
            <x v="6"/>
          </reference>
        </references>
      </pivotArea>
    </chartFormat>
    <chartFormat chart="6" format="34">
      <pivotArea type="data" outline="0" fieldPosition="0">
        <references count="2">
          <reference field="4294967294" count="1" selected="0">
            <x v="0"/>
          </reference>
          <reference field="5" count="1" selected="0">
            <x v="7"/>
          </reference>
        </references>
      </pivotArea>
    </chartFormat>
    <chartFormat chart="6" format="35">
      <pivotArea type="data" outline="0" fieldPosition="0">
        <references count="2">
          <reference field="4294967294" count="1" selected="0">
            <x v="0"/>
          </reference>
          <reference field="5" count="1" selected="0">
            <x v="8"/>
          </reference>
        </references>
      </pivotArea>
    </chartFormat>
    <chartFormat chart="6" format="36">
      <pivotArea type="data" outline="0" fieldPosition="0">
        <references count="2">
          <reference field="4294967294" count="1" selected="0">
            <x v="0"/>
          </reference>
          <reference field="5" count="1" selected="0">
            <x v="9"/>
          </reference>
        </references>
      </pivotArea>
    </chartFormat>
    <chartFormat chart="6" format="37">
      <pivotArea type="data" outline="0" fieldPosition="0">
        <references count="2">
          <reference field="4294967294" count="1" selected="0">
            <x v="0"/>
          </reference>
          <reference field="5" count="1" selected="0">
            <x v="10"/>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5" count="1" selected="0">
            <x v="0"/>
          </reference>
        </references>
      </pivotArea>
    </chartFormat>
    <chartFormat chart="9" format="28">
      <pivotArea type="data" outline="0" fieldPosition="0">
        <references count="2">
          <reference field="4294967294" count="1" selected="0">
            <x v="0"/>
          </reference>
          <reference field="5" count="1" selected="0">
            <x v="1"/>
          </reference>
        </references>
      </pivotArea>
    </chartFormat>
    <chartFormat chart="9" format="29">
      <pivotArea type="data" outline="0" fieldPosition="0">
        <references count="2">
          <reference field="4294967294" count="1" selected="0">
            <x v="0"/>
          </reference>
          <reference field="5" count="1" selected="0">
            <x v="2"/>
          </reference>
        </references>
      </pivotArea>
    </chartFormat>
    <chartFormat chart="9" format="30">
      <pivotArea type="data" outline="0" fieldPosition="0">
        <references count="2">
          <reference field="4294967294" count="1" selected="0">
            <x v="0"/>
          </reference>
          <reference field="5" count="1" selected="0">
            <x v="3"/>
          </reference>
        </references>
      </pivotArea>
    </chartFormat>
    <chartFormat chart="9" format="31">
      <pivotArea type="data" outline="0" fieldPosition="0">
        <references count="2">
          <reference field="4294967294" count="1" selected="0">
            <x v="0"/>
          </reference>
          <reference field="5" count="1" selected="0">
            <x v="4"/>
          </reference>
        </references>
      </pivotArea>
    </chartFormat>
    <chartFormat chart="9" format="32">
      <pivotArea type="data" outline="0" fieldPosition="0">
        <references count="2">
          <reference field="4294967294" count="1" selected="0">
            <x v="0"/>
          </reference>
          <reference field="5" count="1" selected="0">
            <x v="5"/>
          </reference>
        </references>
      </pivotArea>
    </chartFormat>
    <chartFormat chart="9" format="33">
      <pivotArea type="data" outline="0" fieldPosition="0">
        <references count="2">
          <reference field="4294967294" count="1" selected="0">
            <x v="0"/>
          </reference>
          <reference field="5" count="1" selected="0">
            <x v="6"/>
          </reference>
        </references>
      </pivotArea>
    </chartFormat>
    <chartFormat chart="9" format="34">
      <pivotArea type="data" outline="0" fieldPosition="0">
        <references count="2">
          <reference field="4294967294" count="1" selected="0">
            <x v="0"/>
          </reference>
          <reference field="5" count="1" selected="0">
            <x v="7"/>
          </reference>
        </references>
      </pivotArea>
    </chartFormat>
    <chartFormat chart="9" format="35">
      <pivotArea type="data" outline="0" fieldPosition="0">
        <references count="2">
          <reference field="4294967294" count="1" selected="0">
            <x v="0"/>
          </reference>
          <reference field="5" count="1" selected="0">
            <x v="8"/>
          </reference>
        </references>
      </pivotArea>
    </chartFormat>
    <chartFormat chart="9" format="36">
      <pivotArea type="data" outline="0" fieldPosition="0">
        <references count="2">
          <reference field="4294967294" count="1" selected="0">
            <x v="0"/>
          </reference>
          <reference field="5" count="1" selected="0">
            <x v="9"/>
          </reference>
        </references>
      </pivotArea>
    </chartFormat>
    <chartFormat chart="9" format="37">
      <pivotArea type="data" outline="0" fieldPosition="0">
        <references count="2">
          <reference field="4294967294" count="1" selected="0">
            <x v="0"/>
          </reference>
          <reference field="5" count="1" selected="0">
            <x v="1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7B9558-DE8D-4ED6-8ED9-D948CC603650}" name="PivotTable6"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3:B22" firstHeaderRow="1" firstDataRow="1" firstDataCol="1"/>
  <pivotFields count="7">
    <pivotField dataField="1"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s>
  <rowFields count="1">
    <field x="3"/>
  </rowFields>
  <rowItems count="9">
    <i>
      <x v="1"/>
    </i>
    <i>
      <x v="2"/>
    </i>
    <i>
      <x v="3"/>
    </i>
    <i>
      <x v="4"/>
    </i>
    <i>
      <x v="5"/>
    </i>
    <i>
      <x v="6"/>
    </i>
    <i>
      <x v="7"/>
    </i>
    <i>
      <x v="8"/>
    </i>
    <i>
      <x v="9"/>
    </i>
  </rowItems>
  <colItems count="1">
    <i/>
  </colItems>
  <dataFields count="1">
    <dataField name="Count of Name" fld="0" subtotal="count" baseField="0" baseItem="0"/>
  </dataFields>
  <formats count="6">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fieldPosition="0">
        <references count="1">
          <reference field="3" count="9">
            <x v="1"/>
            <x v="2"/>
            <x v="3"/>
            <x v="4"/>
            <x v="5"/>
            <x v="6"/>
            <x v="7"/>
            <x v="8"/>
            <x v="9"/>
          </reference>
        </references>
      </pivotArea>
    </format>
    <format dxfId="46">
      <pivotArea dataOnly="0" labelOnly="1" outline="0" axis="axisValues" fieldPosition="0"/>
    </format>
    <format dxfId="45">
      <pivotArea collapsedLevelsAreSubtotals="1" fieldPosition="0">
        <references count="1">
          <reference field="3" count="1">
            <x v="1"/>
          </reference>
        </references>
      </pivotArea>
    </format>
  </formats>
  <conditionalFormats count="2">
    <conditionalFormat priority="5">
      <pivotAreas count="1">
        <pivotArea type="data" collapsedLevelsAreSubtotals="1" fieldPosition="0">
          <references count="2">
            <reference field="4294967294" count="1" selected="0">
              <x v="0"/>
            </reference>
            <reference field="3" count="1">
              <x v="1"/>
            </reference>
          </references>
        </pivotArea>
      </pivotAreas>
    </conditionalFormat>
    <conditionalFormat priority="2">
      <pivotAreas count="1">
        <pivotArea type="data" collapsedLevelsAreSubtotals="1" fieldPosition="0">
          <references count="2">
            <reference field="4294967294" count="1" selected="0">
              <x v="0"/>
            </reference>
            <reference field="3" count="1">
              <x v="1"/>
            </reference>
          </references>
        </pivotArea>
      </pivotAreas>
    </conditionalFormat>
  </conditionalFormats>
  <chartFormats count="19">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 chart="5" format="6">
      <pivotArea type="data" outline="0" fieldPosition="0">
        <references count="2">
          <reference field="4294967294" count="1" selected="0">
            <x v="0"/>
          </reference>
          <reference field="3" count="1" selected="0">
            <x v="5"/>
          </reference>
        </references>
      </pivotArea>
    </chartFormat>
    <chartFormat chart="5" format="7">
      <pivotArea type="data" outline="0" fieldPosition="0">
        <references count="2">
          <reference field="4294967294" count="1" selected="0">
            <x v="0"/>
          </reference>
          <reference field="3" count="1" selected="0">
            <x v="6"/>
          </reference>
        </references>
      </pivotArea>
    </chartFormat>
    <chartFormat chart="5" format="8">
      <pivotArea type="data" outline="0" fieldPosition="0">
        <references count="2">
          <reference field="4294967294" count="1" selected="0">
            <x v="0"/>
          </reference>
          <reference field="3" count="1" selected="0">
            <x v="7"/>
          </reference>
        </references>
      </pivotArea>
    </chartFormat>
    <chartFormat chart="5" format="9">
      <pivotArea type="data" outline="0" fieldPosition="0">
        <references count="2">
          <reference field="4294967294" count="1" selected="0">
            <x v="0"/>
          </reference>
          <reference field="3" count="1" selected="0">
            <x v="8"/>
          </reference>
        </references>
      </pivotArea>
    </chartFormat>
    <chartFormat chart="5" format="10">
      <pivotArea type="data" outline="0" fieldPosition="0">
        <references count="2">
          <reference field="4294967294" count="1" selected="0">
            <x v="0"/>
          </reference>
          <reference field="3" count="1" selected="0">
            <x v="9"/>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3" count="1" selected="0">
            <x v="2"/>
          </reference>
        </references>
      </pivotArea>
    </chartFormat>
    <chartFormat chart="9" format="22">
      <pivotArea type="data" outline="0" fieldPosition="0">
        <references count="2">
          <reference field="4294967294" count="1" selected="0">
            <x v="0"/>
          </reference>
          <reference field="3" count="1" selected="0">
            <x v="3"/>
          </reference>
        </references>
      </pivotArea>
    </chartFormat>
    <chartFormat chart="9" format="23">
      <pivotArea type="data" outline="0" fieldPosition="0">
        <references count="2">
          <reference field="4294967294" count="1" selected="0">
            <x v="0"/>
          </reference>
          <reference field="3" count="1" selected="0">
            <x v="4"/>
          </reference>
        </references>
      </pivotArea>
    </chartFormat>
    <chartFormat chart="9" format="24">
      <pivotArea type="data" outline="0" fieldPosition="0">
        <references count="2">
          <reference field="4294967294" count="1" selected="0">
            <x v="0"/>
          </reference>
          <reference field="3" count="1" selected="0">
            <x v="5"/>
          </reference>
        </references>
      </pivotArea>
    </chartFormat>
    <chartFormat chart="9" format="25">
      <pivotArea type="data" outline="0" fieldPosition="0">
        <references count="2">
          <reference field="4294967294" count="1" selected="0">
            <x v="0"/>
          </reference>
          <reference field="3" count="1" selected="0">
            <x v="6"/>
          </reference>
        </references>
      </pivotArea>
    </chartFormat>
    <chartFormat chart="9" format="26">
      <pivotArea type="data" outline="0" fieldPosition="0">
        <references count="2">
          <reference field="4294967294" count="1" selected="0">
            <x v="0"/>
          </reference>
          <reference field="3" count="1" selected="0">
            <x v="7"/>
          </reference>
        </references>
      </pivotArea>
    </chartFormat>
    <chartFormat chart="9" format="27">
      <pivotArea type="data" outline="0" fieldPosition="0">
        <references count="2">
          <reference field="4294967294" count="1" selected="0">
            <x v="0"/>
          </reference>
          <reference field="3" count="1" selected="0">
            <x v="8"/>
          </reference>
        </references>
      </pivotArea>
    </chartFormat>
    <chartFormat chart="9" format="28">
      <pivotArea type="data" outline="0" fieldPosition="0">
        <references count="2">
          <reference field="4294967294" count="1" selected="0">
            <x v="0"/>
          </reference>
          <reference field="3" count="1" selected="0">
            <x v="9"/>
          </reference>
        </references>
      </pivotArea>
    </chartFormat>
    <chartFormat chart="9" format="29">
      <pivotArea type="data" outline="0" fieldPosition="0">
        <references count="2">
          <reference field="4294967294" count="1" selected="0">
            <x v="0"/>
          </reference>
          <reference field="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A8C124-C520-4DEB-86A0-2CAF9EB5893C}"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7">
    <pivotField showAll="0"/>
    <pivotField showAll="0"/>
    <pivotField showAll="0"/>
    <pivotField showAll="0">
      <items count="13">
        <item x="0"/>
        <item x="1"/>
        <item x="2"/>
        <item x="3"/>
        <item x="4"/>
        <item x="5"/>
        <item x="6"/>
        <item x="7"/>
        <item x="8"/>
        <item x="9"/>
        <item x="10"/>
        <item x="11"/>
        <item t="default"/>
      </items>
    </pivotField>
    <pivotField dataField="1" showAll="0"/>
    <pivotField showAll="0"/>
    <pivotField showAll="0"/>
  </pivotFields>
  <rowItems count="1">
    <i/>
  </rowItems>
  <colItems count="1">
    <i/>
  </colItems>
  <dataFields count="1">
    <dataField name="Sum of Price" fld="4" baseField="0" baseItem="0" numFmtId="44"/>
  </dataFields>
  <formats count="6">
    <format dxfId="56">
      <pivotArea outline="0" collapsedLevelsAreSubtotals="1"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491B87-D223-4952-986C-F3063BA7A709}" name="PivotTable2"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H11:I13" firstHeaderRow="1" firstDataRow="1" firstDataCol="1"/>
  <pivotFields count="7">
    <pivotField showAll="0"/>
    <pivotField showAll="0"/>
    <pivotField showAll="0"/>
    <pivotField showAll="0"/>
    <pivotField showAll="0"/>
    <pivotField showAll="0"/>
    <pivotField axis="axisRow" dataField="1" showAll="0">
      <items count="3">
        <item x="1"/>
        <item x="0"/>
        <item t="default"/>
      </items>
    </pivotField>
  </pivotFields>
  <rowFields count="1">
    <field x="6"/>
  </rowFields>
  <rowItems count="2">
    <i>
      <x/>
    </i>
    <i>
      <x v="1"/>
    </i>
  </rowItems>
  <colItems count="1">
    <i/>
  </colItems>
  <dataFields count="1">
    <dataField name="Count of Genre" fld="6" subtotal="count" baseField="6" baseItem="0"/>
  </dataFields>
  <conditionalFormats count="1">
    <conditionalFormat priority="1">
      <pivotAreas count="1">
        <pivotArea type="data" collapsedLevelsAreSubtotals="1" fieldPosition="0">
          <references count="2">
            <reference field="4294967294" count="1" selected="0">
              <x v="0"/>
            </reference>
            <reference field="6" count="1">
              <x v="1"/>
            </reference>
          </references>
        </pivotArea>
      </pivotAreas>
    </conditionalFormat>
  </conditionalFormat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6" count="1" selected="0">
            <x v="0"/>
          </reference>
        </references>
      </pivotArea>
    </chartFormat>
    <chartFormat chart="8" format="12">
      <pivotArea type="data" outline="0" fieldPosition="0">
        <references count="2">
          <reference field="4294967294" count="1" selected="0">
            <x v="0"/>
          </reference>
          <reference field="6"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D3175991-7636-4CB5-9654-61C491794926}" sourceName="Genre">
  <pivotTables>
    <pivotTable tabId="2" name="PivotTable4"/>
  </pivotTables>
  <data>
    <tabular pivotCacheId="2002765812">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765C4A-D765-4AC3-A038-614652710354}" sourceName="Year">
  <pivotTables>
    <pivotTable tabId="2" name="PivotTable7"/>
  </pivotTables>
  <data>
    <tabular pivotCacheId="2002765812">
      <items count="11">
        <i x="7" s="1"/>
        <i x="6" s="1"/>
        <i x="1" s="1"/>
        <i x="10" s="1"/>
        <i x="9" s="1"/>
        <i x="5" s="1"/>
        <i x="8"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thor" xr10:uid="{142F658C-84CA-4D97-BC6D-0AEA19EA7D49}" sourceName="Author">
  <pivotTables>
    <pivotTable tabId="2" name="PivotTable4"/>
  </pivotTables>
  <data>
    <tabular pivotCacheId="2002765812">
      <items count="248">
        <i x="42" s="1"/>
        <i x="74" s="1"/>
        <i x="236" s="1"/>
        <i x="232" s="1"/>
        <i x="211" s="1"/>
        <i x="116" s="1"/>
        <i x="6" s="1"/>
        <i x="199" s="1"/>
        <i x="189" s="1"/>
        <i x="97" s="1"/>
        <i x="17" s="1"/>
        <i x="213" s="1"/>
        <i x="170" s="1"/>
        <i x="32" s="1"/>
        <i x="117" s="1"/>
        <i x="45" s="1"/>
        <i x="115" s="1"/>
        <i x="134" s="1"/>
        <i x="101" s="1"/>
        <i x="219" s="1"/>
        <i x="100" s="1"/>
        <i x="52" s="1"/>
        <i x="207" s="1"/>
        <i x="240" s="1"/>
        <i x="24" s="1"/>
        <i x="184" s="1"/>
        <i x="131" s="1"/>
        <i x="176" s="1"/>
        <i x="62" s="1"/>
        <i x="132" s="1"/>
        <i x="218" s="1"/>
        <i x="216" s="1"/>
        <i x="143" s="1"/>
        <i x="185" s="1"/>
        <i x="8" s="1"/>
        <i x="164" s="1"/>
        <i x="98" s="1"/>
        <i x="3" s="1"/>
        <i x="5" s="1"/>
        <i x="68" s="1"/>
        <i x="71" s="1"/>
        <i x="76" s="1"/>
        <i x="140" s="1"/>
        <i x="73" s="1"/>
        <i x="85" s="1"/>
        <i x="60" s="1"/>
        <i x="200" s="1"/>
        <i x="96" s="1"/>
        <i x="223" s="1"/>
        <i x="33" s="1"/>
        <i x="109" s="1"/>
        <i x="118" s="1"/>
        <i x="155" s="1"/>
        <i x="188" s="1"/>
        <i x="190" s="1"/>
        <i x="244" s="1"/>
        <i x="40" s="1"/>
        <i x="20" s="1"/>
        <i x="202" s="1"/>
        <i x="11" s="1"/>
        <i x="187" s="1"/>
        <i x="79" s="1"/>
        <i x="169" s="1"/>
        <i x="186" s="1"/>
        <i x="241" s="1"/>
        <i x="178" s="1"/>
        <i x="151" s="1"/>
        <i x="194" s="1"/>
        <i x="181" s="1"/>
        <i x="204" s="1"/>
        <i x="162" s="1"/>
        <i x="246" s="1"/>
        <i x="59" s="1"/>
        <i x="66" s="1"/>
        <i x="136" s="1"/>
        <i x="228" s="1"/>
        <i x="120" s="1"/>
        <i x="46" s="1"/>
        <i x="144" s="1"/>
        <i x="183" s="1"/>
        <i x="233" s="1"/>
        <i x="86" s="1"/>
        <i x="80" s="1"/>
        <i x="1" s="1"/>
        <i x="31" s="1"/>
        <i x="182" s="1"/>
        <i x="37" s="1"/>
        <i x="146" s="1"/>
        <i x="18" s="1"/>
        <i x="210" s="1"/>
        <i x="137" s="1"/>
        <i x="124" s="1" nd="1"/>
        <i x="121" s="1" nd="1"/>
        <i x="13" s="1" nd="1"/>
        <i x="94" s="1" nd="1"/>
        <i x="49" s="1" nd="1"/>
        <i x="139" s="1" nd="1"/>
        <i x="173" s="1" nd="1"/>
        <i x="127" s="1" nd="1"/>
        <i x="25" s="1" nd="1"/>
        <i x="133" s="1" nd="1"/>
        <i x="107" s="1" nd="1"/>
        <i x="28" s="1" nd="1"/>
        <i x="167" s="1" nd="1"/>
        <i x="106" s="1" nd="1"/>
        <i x="168" s="1" nd="1"/>
        <i x="14" s="1" nd="1"/>
        <i x="61" s="1" nd="1"/>
        <i x="93" s="1" nd="1"/>
        <i x="43" s="1" nd="1"/>
        <i x="70" s="1" nd="1"/>
        <i x="30" s="1" nd="1"/>
        <i x="125" s="1" nd="1"/>
        <i x="208" s="1" nd="1"/>
        <i x="221" s="1" nd="1"/>
        <i x="243" s="1" nd="1"/>
        <i x="198" s="1" nd="1"/>
        <i x="154" s="1" nd="1"/>
        <i x="19" s="1" nd="1"/>
        <i x="38" s="1" nd="1"/>
        <i x="15" s="1" nd="1"/>
        <i x="126" s="1" nd="1"/>
        <i x="91" s="1" nd="1"/>
        <i x="54" s="1" nd="1"/>
        <i x="171" s="1" nd="1"/>
        <i x="222" s="1" nd="1"/>
        <i x="195" s="1" nd="1"/>
        <i x="214" s="1" nd="1"/>
        <i x="35" s="1" nd="1"/>
        <i x="105" s="1" nd="1"/>
        <i x="220" s="1" nd="1"/>
        <i x="81" s="1" nd="1"/>
        <i x="142" s="1" nd="1"/>
        <i x="55" s="1" nd="1"/>
        <i x="174" s="1" nd="1"/>
        <i x="215" s="1" nd="1"/>
        <i x="180" s="1" nd="1"/>
        <i x="156" s="1" nd="1"/>
        <i x="206" s="1" nd="1"/>
        <i x="138" s="1" nd="1"/>
        <i x="163" s="1" nd="1"/>
        <i x="229" s="1" nd="1"/>
        <i x="128" s="1" nd="1"/>
        <i x="99" s="1" nd="1"/>
        <i x="209" s="1" nd="1"/>
        <i x="39" s="1" nd="1"/>
        <i x="152" s="1" nd="1"/>
        <i x="159" s="1" nd="1"/>
        <i x="245" s="1" nd="1"/>
        <i x="47" s="1" nd="1"/>
        <i x="21" s="1" nd="1"/>
        <i x="225" s="1" nd="1"/>
        <i x="237" s="1" nd="1"/>
        <i x="234" s="1" nd="1"/>
        <i x="95" s="1" nd="1"/>
        <i x="92" s="1" nd="1"/>
        <i x="150" s="1" nd="1"/>
        <i x="26" s="1" nd="1"/>
        <i x="89" s="1" nd="1"/>
        <i x="7" s="1" nd="1"/>
        <i x="10" s="1" nd="1"/>
        <i x="247" s="1" nd="1"/>
        <i x="102" s="1" nd="1"/>
        <i x="78" s="1" nd="1"/>
        <i x="0" s="1" nd="1"/>
        <i x="90" s="1" nd="1"/>
        <i x="56" s="1" nd="1"/>
        <i x="58" s="1" nd="1"/>
        <i x="67" s="1" nd="1"/>
        <i x="224" s="1" nd="1"/>
        <i x="175" s="1" nd="1"/>
        <i x="2" s="1" nd="1"/>
        <i x="122" s="1" nd="1"/>
        <i x="148" s="1" nd="1"/>
        <i x="114" s="1" nd="1"/>
        <i x="9" s="1" nd="1"/>
        <i x="230" s="1" nd="1"/>
        <i x="192" s="1" nd="1"/>
        <i x="83" s="1" nd="1"/>
        <i x="103" s="1" nd="1"/>
        <i x="50" s="1" nd="1"/>
        <i x="44" s="1" nd="1"/>
        <i x="196" s="1" nd="1"/>
        <i x="41" s="1" nd="1"/>
        <i x="166" s="1" nd="1"/>
        <i x="212" s="1" nd="1"/>
        <i x="129" s="1" nd="1"/>
        <i x="113" s="1" nd="1"/>
        <i x="23" s="1" nd="1"/>
        <i x="53" s="1" nd="1"/>
        <i x="217" s="1" nd="1"/>
        <i x="165" s="1" nd="1"/>
        <i x="65" s="1" nd="1"/>
        <i x="63" s="1" nd="1"/>
        <i x="27" s="1" nd="1"/>
        <i x="157" s="1" nd="1"/>
        <i x="87" s="1" nd="1"/>
        <i x="135" s="1" nd="1"/>
        <i x="4" s="1" nd="1"/>
        <i x="22" s="1" nd="1"/>
        <i x="112" s="1" nd="1"/>
        <i x="179" s="1" nd="1"/>
        <i x="239" s="1" nd="1"/>
        <i x="130" s="1" nd="1"/>
        <i x="69" s="1" nd="1"/>
        <i x="84" s="1" nd="1"/>
        <i x="177" s="1" nd="1"/>
        <i x="77" s="1" nd="1"/>
        <i x="72" s="1" nd="1"/>
        <i x="82" s="1" nd="1"/>
        <i x="235" s="1" nd="1"/>
        <i x="193" s="1" nd="1"/>
        <i x="191" s="1" nd="1"/>
        <i x="205" s="1" nd="1"/>
        <i x="119" s="1" nd="1"/>
        <i x="108" s="1" nd="1"/>
        <i x="64" s="1" nd="1"/>
        <i x="16" s="1" nd="1"/>
        <i x="123" s="1" nd="1"/>
        <i x="145" s="1" nd="1"/>
        <i x="75" s="1" nd="1"/>
        <i x="104" s="1" nd="1"/>
        <i x="34" s="1" nd="1"/>
        <i x="147" s="1" nd="1"/>
        <i x="110" s="1" nd="1"/>
        <i x="231" s="1" nd="1"/>
        <i x="197" s="1" nd="1"/>
        <i x="161" s="1" nd="1"/>
        <i x="12" s="1" nd="1"/>
        <i x="153" s="1" nd="1"/>
        <i x="141" s="1" nd="1"/>
        <i x="29" s="1" nd="1"/>
        <i x="57" s="1" nd="1"/>
        <i x="203" s="1" nd="1"/>
        <i x="242" s="1" nd="1"/>
        <i x="201" s="1" nd="1"/>
        <i x="172" s="1" nd="1"/>
        <i x="36" s="1" nd="1"/>
        <i x="226" s="1" nd="1"/>
        <i x="158" s="1" nd="1"/>
        <i x="227" s="1" nd="1"/>
        <i x="88" s="1" nd="1"/>
        <i x="48" s="1" nd="1"/>
        <i x="149" s="1" nd="1"/>
        <i x="160" s="1" nd="1"/>
        <i x="111" s="1" nd="1"/>
        <i x="238" s="1" nd="1"/>
        <i x="51"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 xr10:uid="{216C366D-D8A5-41D9-9DC9-9329F3906AE4}" sourceName="Reviews">
  <pivotTables>
    <pivotTable tabId="2" name="PivotTable6"/>
  </pivotTables>
  <data>
    <tabular pivotCacheId="2002765812">
      <items count="12">
        <i x="1" s="1"/>
        <i x="2" s="1"/>
        <i x="3" s="1"/>
        <i x="4" s="1"/>
        <i x="5" s="1"/>
        <i x="6" s="1"/>
        <i x="7" s="1"/>
        <i x="8" s="1"/>
        <i x="9" s="1"/>
        <i x="0" s="1" nd="1"/>
        <i x="11"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68163CC5-0971-44B2-9C67-526AC871E755}" cache="Slicer_Genre" caption="Genre" style="Slicer Style 5" rowHeight="241300"/>
  <slicer name="Year 1" xr10:uid="{4DE39237-4CB7-4FAC-872D-98239F6B3955}" cache="Slicer_Year" caption="Year" columnCount="3" style="Slicer Style 5" rowHeight="241300"/>
  <slicer name="Author 1" xr10:uid="{8F2B55F4-A722-49C8-92A1-C65B30D4E07C}" cache="Slicer_Author" caption="Author" startItem="51" style="Slicer Style 5" rowHeight="241300"/>
  <slicer name="Reviews 1" xr10:uid="{A75F2025-06C7-417C-972A-40A3E7691A3D}" cache="Slicer_Reviews" caption="Reviews" startItem="2" columnCount="2"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6591AE-0997-4ADB-B01D-A5FEBE855855}" name="AMAZONTABLE" displayName="AMAZONTABLE" ref="A1:G551" totalsRowShown="0">
  <autoFilter ref="A1:G551" xr:uid="{466591AE-0997-4ADB-B01D-A5FEBE8558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103CB99-748F-4B58-8549-71B61948273F}" name="Name"/>
    <tableColumn id="2" xr3:uid="{E0CD9F39-29E7-4514-A69A-A7B579F1A183}" name="Author"/>
    <tableColumn id="3" xr3:uid="{0820CD55-20B8-4B9B-BAA5-A2C272517E58}" name="User Rating"/>
    <tableColumn id="4" xr3:uid="{A6B7F042-DE1A-4217-9476-C4CA4A2C610B}" name="Reviews"/>
    <tableColumn id="5" xr3:uid="{12E9EF6C-0203-4606-9FDA-4F3BF4B95C0B}" name="Price" dataCellStyle="Currency"/>
    <tableColumn id="6" xr3:uid="{3FA15C15-C7A2-4E5B-B116-7078D7438602}" name="Year"/>
    <tableColumn id="7" xr3:uid="{0CCA096E-0055-4311-AD29-A770183BDC05}" name="Genre"/>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1"/>
  <sheetViews>
    <sheetView workbookViewId="0">
      <selection activeCell="E507" sqref="E507"/>
    </sheetView>
  </sheetViews>
  <sheetFormatPr defaultRowHeight="15" x14ac:dyDescent="0.25"/>
  <cols>
    <col min="1" max="1" width="118.5703125" customWidth="1"/>
    <col min="2" max="2" width="26.28515625" customWidth="1"/>
    <col min="3" max="3" width="20.5703125" customWidth="1"/>
    <col min="4" max="4" width="10.5703125" customWidth="1"/>
    <col min="6" max="6" width="13.7109375" customWidth="1"/>
    <col min="7" max="7" width="16.28515625" customWidth="1"/>
  </cols>
  <sheetData>
    <row r="1" spans="1:7" x14ac:dyDescent="0.25">
      <c r="A1" t="s">
        <v>0</v>
      </c>
      <c r="B1" t="s">
        <v>1</v>
      </c>
      <c r="C1" t="s">
        <v>2</v>
      </c>
      <c r="D1" t="s">
        <v>3</v>
      </c>
      <c r="E1" t="s">
        <v>4</v>
      </c>
      <c r="F1" t="s">
        <v>5</v>
      </c>
      <c r="G1" t="s">
        <v>6</v>
      </c>
    </row>
    <row r="2" spans="1:7" x14ac:dyDescent="0.25">
      <c r="A2" t="s">
        <v>7</v>
      </c>
      <c r="B2" t="s">
        <v>8</v>
      </c>
      <c r="C2">
        <v>4.7</v>
      </c>
      <c r="D2">
        <v>17350</v>
      </c>
      <c r="E2" s="10">
        <v>8</v>
      </c>
      <c r="F2">
        <v>2016</v>
      </c>
      <c r="G2" t="s">
        <v>9</v>
      </c>
    </row>
    <row r="3" spans="1:7" x14ac:dyDescent="0.25">
      <c r="A3" t="s">
        <v>10</v>
      </c>
      <c r="B3" t="s">
        <v>11</v>
      </c>
      <c r="C3">
        <v>4.5999999999999996</v>
      </c>
      <c r="D3">
        <v>2052</v>
      </c>
      <c r="E3" s="10">
        <v>22</v>
      </c>
      <c r="F3">
        <v>2011</v>
      </c>
      <c r="G3" t="s">
        <v>12</v>
      </c>
    </row>
    <row r="4" spans="1:7" x14ac:dyDescent="0.25">
      <c r="A4" t="s">
        <v>13</v>
      </c>
      <c r="B4" t="s">
        <v>14</v>
      </c>
      <c r="C4">
        <v>4.7</v>
      </c>
      <c r="D4">
        <v>18979</v>
      </c>
      <c r="E4" s="10">
        <v>15</v>
      </c>
      <c r="F4">
        <v>2018</v>
      </c>
      <c r="G4" t="s">
        <v>9</v>
      </c>
    </row>
    <row r="5" spans="1:7" x14ac:dyDescent="0.25">
      <c r="A5" t="s">
        <v>15</v>
      </c>
      <c r="B5" t="s">
        <v>16</v>
      </c>
      <c r="C5">
        <v>4.7</v>
      </c>
      <c r="D5">
        <v>21424</v>
      </c>
      <c r="E5" s="10">
        <v>6</v>
      </c>
      <c r="F5">
        <v>2017</v>
      </c>
      <c r="G5" t="s">
        <v>12</v>
      </c>
    </row>
    <row r="6" spans="1:7" x14ac:dyDescent="0.25">
      <c r="A6" t="s">
        <v>17</v>
      </c>
      <c r="B6" t="s">
        <v>18</v>
      </c>
      <c r="C6">
        <v>4.8</v>
      </c>
      <c r="D6">
        <v>7665</v>
      </c>
      <c r="E6" s="10">
        <v>12</v>
      </c>
      <c r="F6">
        <v>2019</v>
      </c>
      <c r="G6" t="s">
        <v>9</v>
      </c>
    </row>
    <row r="7" spans="1:7" x14ac:dyDescent="0.25">
      <c r="A7" t="s">
        <v>19</v>
      </c>
      <c r="B7" t="s">
        <v>20</v>
      </c>
      <c r="C7">
        <v>4.4000000000000004</v>
      </c>
      <c r="D7">
        <v>12643</v>
      </c>
      <c r="E7" s="10">
        <v>11</v>
      </c>
      <c r="F7">
        <v>2011</v>
      </c>
      <c r="G7" t="s">
        <v>12</v>
      </c>
    </row>
    <row r="8" spans="1:7" x14ac:dyDescent="0.25">
      <c r="A8" t="s">
        <v>21</v>
      </c>
      <c r="B8" t="s">
        <v>20</v>
      </c>
      <c r="C8">
        <v>4.7</v>
      </c>
      <c r="D8">
        <v>19735</v>
      </c>
      <c r="E8" s="10">
        <v>30</v>
      </c>
      <c r="F8">
        <v>2014</v>
      </c>
      <c r="G8" t="s">
        <v>12</v>
      </c>
    </row>
    <row r="9" spans="1:7" x14ac:dyDescent="0.25">
      <c r="A9" t="s">
        <v>22</v>
      </c>
      <c r="B9" t="s">
        <v>23</v>
      </c>
      <c r="C9">
        <v>4.7</v>
      </c>
      <c r="D9">
        <v>19699</v>
      </c>
      <c r="E9" s="10">
        <v>15</v>
      </c>
      <c r="F9">
        <v>2017</v>
      </c>
      <c r="G9" t="s">
        <v>12</v>
      </c>
    </row>
    <row r="10" spans="1:7" x14ac:dyDescent="0.25">
      <c r="A10" t="s">
        <v>24</v>
      </c>
      <c r="B10" t="s">
        <v>25</v>
      </c>
      <c r="C10">
        <v>4.7</v>
      </c>
      <c r="D10">
        <v>5983</v>
      </c>
      <c r="E10" s="10">
        <v>3</v>
      </c>
      <c r="F10">
        <v>2018</v>
      </c>
      <c r="G10" t="s">
        <v>9</v>
      </c>
    </row>
    <row r="11" spans="1:7" x14ac:dyDescent="0.25">
      <c r="A11" t="s">
        <v>26</v>
      </c>
      <c r="B11" t="s">
        <v>27</v>
      </c>
      <c r="C11">
        <v>4.5999999999999996</v>
      </c>
      <c r="D11">
        <v>23848</v>
      </c>
      <c r="E11" s="10">
        <v>8</v>
      </c>
      <c r="F11">
        <v>2016</v>
      </c>
      <c r="G11" t="s">
        <v>12</v>
      </c>
    </row>
    <row r="12" spans="1:7" x14ac:dyDescent="0.25">
      <c r="A12" t="s">
        <v>26</v>
      </c>
      <c r="B12" t="s">
        <v>27</v>
      </c>
      <c r="C12">
        <v>4.5999999999999996</v>
      </c>
      <c r="D12">
        <v>23848</v>
      </c>
      <c r="E12" s="10">
        <v>8</v>
      </c>
      <c r="F12">
        <v>2017</v>
      </c>
      <c r="G12" t="s">
        <v>12</v>
      </c>
    </row>
    <row r="13" spans="1:7" x14ac:dyDescent="0.25">
      <c r="A13" t="s">
        <v>28</v>
      </c>
      <c r="B13" t="s">
        <v>29</v>
      </c>
      <c r="C13">
        <v>4.5999999999999996</v>
      </c>
      <c r="D13">
        <v>460</v>
      </c>
      <c r="E13" s="10">
        <v>2</v>
      </c>
      <c r="F13">
        <v>2010</v>
      </c>
      <c r="G13" t="s">
        <v>9</v>
      </c>
    </row>
    <row r="14" spans="1:7" x14ac:dyDescent="0.25">
      <c r="A14" t="s">
        <v>30</v>
      </c>
      <c r="B14" t="s">
        <v>31</v>
      </c>
      <c r="C14">
        <v>4.5999999999999996</v>
      </c>
      <c r="D14">
        <v>4149</v>
      </c>
      <c r="E14" s="10">
        <v>32</v>
      </c>
      <c r="F14">
        <v>2011</v>
      </c>
      <c r="G14" t="s">
        <v>9</v>
      </c>
    </row>
    <row r="15" spans="1:7" x14ac:dyDescent="0.25">
      <c r="A15" t="s">
        <v>32</v>
      </c>
      <c r="B15" t="s">
        <v>33</v>
      </c>
      <c r="C15">
        <v>4.5</v>
      </c>
      <c r="D15">
        <v>5153</v>
      </c>
      <c r="E15" s="10">
        <v>5</v>
      </c>
      <c r="F15">
        <v>2018</v>
      </c>
      <c r="G15" t="s">
        <v>12</v>
      </c>
    </row>
    <row r="16" spans="1:7" x14ac:dyDescent="0.25">
      <c r="A16" t="s">
        <v>34</v>
      </c>
      <c r="B16" t="s">
        <v>35</v>
      </c>
      <c r="C16">
        <v>4.5999999999999996</v>
      </c>
      <c r="D16">
        <v>5013</v>
      </c>
      <c r="E16" s="10">
        <v>17</v>
      </c>
      <c r="F16">
        <v>2009</v>
      </c>
      <c r="G16" t="s">
        <v>9</v>
      </c>
    </row>
    <row r="17" spans="1:7" x14ac:dyDescent="0.25">
      <c r="A17" t="s">
        <v>36</v>
      </c>
      <c r="B17" t="s">
        <v>37</v>
      </c>
      <c r="C17">
        <v>4.5</v>
      </c>
      <c r="D17">
        <v>2313</v>
      </c>
      <c r="E17" s="10">
        <v>4</v>
      </c>
      <c r="F17">
        <v>2016</v>
      </c>
      <c r="G17" t="s">
        <v>9</v>
      </c>
    </row>
    <row r="18" spans="1:7" x14ac:dyDescent="0.25">
      <c r="A18" t="s">
        <v>38</v>
      </c>
      <c r="B18" t="s">
        <v>39</v>
      </c>
      <c r="C18">
        <v>4.5999999999999996</v>
      </c>
      <c r="D18">
        <v>2925</v>
      </c>
      <c r="E18" s="10">
        <v>6</v>
      </c>
      <c r="F18">
        <v>2015</v>
      </c>
      <c r="G18" t="s">
        <v>9</v>
      </c>
    </row>
    <row r="19" spans="1:7" x14ac:dyDescent="0.25">
      <c r="A19" t="s">
        <v>40</v>
      </c>
      <c r="B19" t="s">
        <v>39</v>
      </c>
      <c r="C19">
        <v>4.4000000000000004</v>
      </c>
      <c r="D19">
        <v>2951</v>
      </c>
      <c r="E19" s="10">
        <v>6</v>
      </c>
      <c r="F19">
        <v>2015</v>
      </c>
      <c r="G19" t="s">
        <v>9</v>
      </c>
    </row>
    <row r="20" spans="1:7" x14ac:dyDescent="0.25">
      <c r="A20" t="s">
        <v>41</v>
      </c>
      <c r="B20" t="s">
        <v>42</v>
      </c>
      <c r="C20">
        <v>4.5</v>
      </c>
      <c r="D20">
        <v>2426</v>
      </c>
      <c r="E20" s="10">
        <v>8</v>
      </c>
      <c r="F20">
        <v>2015</v>
      </c>
      <c r="G20" t="s">
        <v>9</v>
      </c>
    </row>
    <row r="21" spans="1:7" x14ac:dyDescent="0.25">
      <c r="A21" t="s">
        <v>43</v>
      </c>
      <c r="B21" t="s">
        <v>44</v>
      </c>
      <c r="C21">
        <v>4.8</v>
      </c>
      <c r="D21">
        <v>9198</v>
      </c>
      <c r="E21" s="10">
        <v>13</v>
      </c>
      <c r="F21">
        <v>2016</v>
      </c>
      <c r="G21" t="s">
        <v>9</v>
      </c>
    </row>
    <row r="22" spans="1:7" x14ac:dyDescent="0.25">
      <c r="A22" t="s">
        <v>45</v>
      </c>
      <c r="B22" t="s">
        <v>46</v>
      </c>
      <c r="C22">
        <v>4.5999999999999996</v>
      </c>
      <c r="D22">
        <v>36348</v>
      </c>
      <c r="E22" s="10">
        <v>14</v>
      </c>
      <c r="F22">
        <v>2014</v>
      </c>
      <c r="G22" t="s">
        <v>12</v>
      </c>
    </row>
    <row r="23" spans="1:7" x14ac:dyDescent="0.25">
      <c r="A23" t="s">
        <v>45</v>
      </c>
      <c r="B23" t="s">
        <v>46</v>
      </c>
      <c r="C23">
        <v>4.5999999999999996</v>
      </c>
      <c r="D23">
        <v>36348</v>
      </c>
      <c r="E23" s="10">
        <v>14</v>
      </c>
      <c r="F23">
        <v>2015</v>
      </c>
      <c r="G23" t="s">
        <v>12</v>
      </c>
    </row>
    <row r="24" spans="1:7" x14ac:dyDescent="0.25">
      <c r="A24" t="s">
        <v>47</v>
      </c>
      <c r="B24" t="s">
        <v>48</v>
      </c>
      <c r="C24">
        <v>3.9</v>
      </c>
      <c r="D24">
        <v>6310</v>
      </c>
      <c r="E24" s="10">
        <v>13</v>
      </c>
      <c r="F24">
        <v>2013</v>
      </c>
      <c r="G24" t="s">
        <v>12</v>
      </c>
    </row>
    <row r="25" spans="1:7" x14ac:dyDescent="0.25">
      <c r="A25" t="s">
        <v>49</v>
      </c>
      <c r="B25" t="s">
        <v>50</v>
      </c>
      <c r="C25">
        <v>4.5999999999999996</v>
      </c>
      <c r="D25">
        <v>15921</v>
      </c>
      <c r="E25" s="10">
        <v>9</v>
      </c>
      <c r="F25">
        <v>2015</v>
      </c>
      <c r="G25" t="s">
        <v>9</v>
      </c>
    </row>
    <row r="26" spans="1:7" x14ac:dyDescent="0.25">
      <c r="A26" t="s">
        <v>51</v>
      </c>
      <c r="B26" t="s">
        <v>52</v>
      </c>
      <c r="C26">
        <v>4.3</v>
      </c>
      <c r="D26">
        <v>12159</v>
      </c>
      <c r="E26" s="10">
        <v>13</v>
      </c>
      <c r="F26">
        <v>2013</v>
      </c>
      <c r="G26" t="s">
        <v>12</v>
      </c>
    </row>
    <row r="27" spans="1:7" x14ac:dyDescent="0.25">
      <c r="A27" t="s">
        <v>53</v>
      </c>
      <c r="B27" t="s">
        <v>54</v>
      </c>
      <c r="C27">
        <v>4.5999999999999996</v>
      </c>
      <c r="D27">
        <v>798</v>
      </c>
      <c r="E27" s="10">
        <v>5</v>
      </c>
      <c r="F27">
        <v>2009</v>
      </c>
      <c r="G27" t="s">
        <v>9</v>
      </c>
    </row>
    <row r="28" spans="1:7" x14ac:dyDescent="0.25">
      <c r="A28" t="s">
        <v>55</v>
      </c>
      <c r="B28" t="s">
        <v>56</v>
      </c>
      <c r="C28">
        <v>4.7</v>
      </c>
      <c r="D28">
        <v>9374</v>
      </c>
      <c r="E28" s="10">
        <v>9</v>
      </c>
      <c r="F28">
        <v>2017</v>
      </c>
      <c r="G28" t="s">
        <v>9</v>
      </c>
    </row>
    <row r="29" spans="1:7" x14ac:dyDescent="0.25">
      <c r="A29" t="s">
        <v>57</v>
      </c>
      <c r="B29" t="s">
        <v>58</v>
      </c>
      <c r="C29">
        <v>4.2</v>
      </c>
      <c r="D29">
        <v>491</v>
      </c>
      <c r="E29" s="10">
        <v>14</v>
      </c>
      <c r="F29">
        <v>2010</v>
      </c>
      <c r="G29" t="s">
        <v>9</v>
      </c>
    </row>
    <row r="30" spans="1:7" x14ac:dyDescent="0.25">
      <c r="A30" t="s">
        <v>59</v>
      </c>
      <c r="B30" t="s">
        <v>60</v>
      </c>
      <c r="C30">
        <v>4.5999999999999996</v>
      </c>
      <c r="D30">
        <v>5360</v>
      </c>
      <c r="E30" s="10">
        <v>5</v>
      </c>
      <c r="F30">
        <v>2015</v>
      </c>
      <c r="G30" t="s">
        <v>9</v>
      </c>
    </row>
    <row r="31" spans="1:7" x14ac:dyDescent="0.25">
      <c r="A31" t="s">
        <v>61</v>
      </c>
      <c r="B31" t="s">
        <v>62</v>
      </c>
      <c r="C31">
        <v>4.5999999999999996</v>
      </c>
      <c r="D31">
        <v>1909</v>
      </c>
      <c r="E31" s="10">
        <v>11</v>
      </c>
      <c r="F31">
        <v>2015</v>
      </c>
      <c r="G31" t="s">
        <v>9</v>
      </c>
    </row>
    <row r="32" spans="1:7" x14ac:dyDescent="0.25">
      <c r="A32" t="s">
        <v>63</v>
      </c>
      <c r="B32" t="s">
        <v>64</v>
      </c>
      <c r="C32">
        <v>4.8</v>
      </c>
      <c r="D32">
        <v>1296</v>
      </c>
      <c r="E32" s="10">
        <v>24</v>
      </c>
      <c r="F32">
        <v>2012</v>
      </c>
      <c r="G32" t="s">
        <v>9</v>
      </c>
    </row>
    <row r="33" spans="1:7" x14ac:dyDescent="0.25">
      <c r="A33" t="s">
        <v>65</v>
      </c>
      <c r="B33" t="s">
        <v>64</v>
      </c>
      <c r="C33">
        <v>4.7</v>
      </c>
      <c r="D33">
        <v>615</v>
      </c>
      <c r="E33" s="10">
        <v>21</v>
      </c>
      <c r="F33">
        <v>2010</v>
      </c>
      <c r="G33" t="s">
        <v>9</v>
      </c>
    </row>
    <row r="34" spans="1:7" x14ac:dyDescent="0.25">
      <c r="A34" t="s">
        <v>66</v>
      </c>
      <c r="B34" t="s">
        <v>67</v>
      </c>
      <c r="C34">
        <v>4.8</v>
      </c>
      <c r="D34">
        <v>61133</v>
      </c>
      <c r="E34" s="10">
        <v>11</v>
      </c>
      <c r="F34">
        <v>2018</v>
      </c>
      <c r="G34" t="s">
        <v>9</v>
      </c>
    </row>
    <row r="35" spans="1:7" x14ac:dyDescent="0.25">
      <c r="A35" t="s">
        <v>66</v>
      </c>
      <c r="B35" t="s">
        <v>67</v>
      </c>
      <c r="C35">
        <v>4.8</v>
      </c>
      <c r="D35">
        <v>61133</v>
      </c>
      <c r="E35" s="10">
        <v>11</v>
      </c>
      <c r="F35">
        <v>2019</v>
      </c>
      <c r="G35" t="s">
        <v>9</v>
      </c>
    </row>
    <row r="36" spans="1:7" x14ac:dyDescent="0.25">
      <c r="A36" t="s">
        <v>68</v>
      </c>
      <c r="B36" t="s">
        <v>69</v>
      </c>
      <c r="C36">
        <v>4.8</v>
      </c>
      <c r="D36">
        <v>11113</v>
      </c>
      <c r="E36" s="10">
        <v>15</v>
      </c>
      <c r="F36">
        <v>2015</v>
      </c>
      <c r="G36" t="s">
        <v>9</v>
      </c>
    </row>
    <row r="37" spans="1:7" x14ac:dyDescent="0.25">
      <c r="A37" t="s">
        <v>70</v>
      </c>
      <c r="B37" t="s">
        <v>71</v>
      </c>
      <c r="C37">
        <v>4.7</v>
      </c>
      <c r="D37">
        <v>10070</v>
      </c>
      <c r="E37" s="10">
        <v>13</v>
      </c>
      <c r="F37">
        <v>2015</v>
      </c>
      <c r="G37" t="s">
        <v>9</v>
      </c>
    </row>
    <row r="38" spans="1:7" x14ac:dyDescent="0.25">
      <c r="A38" t="s">
        <v>70</v>
      </c>
      <c r="B38" t="s">
        <v>71</v>
      </c>
      <c r="C38">
        <v>4.7</v>
      </c>
      <c r="D38">
        <v>10070</v>
      </c>
      <c r="E38" s="10">
        <v>13</v>
      </c>
      <c r="F38">
        <v>2016</v>
      </c>
      <c r="G38" t="s">
        <v>9</v>
      </c>
    </row>
    <row r="39" spans="1:7" x14ac:dyDescent="0.25">
      <c r="A39" t="s">
        <v>72</v>
      </c>
      <c r="B39" t="s">
        <v>73</v>
      </c>
      <c r="C39">
        <v>4.7</v>
      </c>
      <c r="D39">
        <v>3729</v>
      </c>
      <c r="E39" s="10">
        <v>18</v>
      </c>
      <c r="F39">
        <v>2016</v>
      </c>
      <c r="G39" t="s">
        <v>9</v>
      </c>
    </row>
    <row r="40" spans="1:7" x14ac:dyDescent="0.25">
      <c r="A40" t="s">
        <v>74</v>
      </c>
      <c r="B40" t="s">
        <v>75</v>
      </c>
      <c r="C40">
        <v>4.5999999999999996</v>
      </c>
      <c r="D40">
        <v>9769</v>
      </c>
      <c r="E40" s="10">
        <v>13</v>
      </c>
      <c r="F40">
        <v>2009</v>
      </c>
      <c r="G40" t="s">
        <v>12</v>
      </c>
    </row>
    <row r="41" spans="1:7" x14ac:dyDescent="0.25">
      <c r="A41" t="s">
        <v>76</v>
      </c>
      <c r="B41" t="s">
        <v>54</v>
      </c>
      <c r="C41">
        <v>4.5</v>
      </c>
      <c r="D41">
        <v>471</v>
      </c>
      <c r="E41" s="10">
        <v>8</v>
      </c>
      <c r="F41">
        <v>2010</v>
      </c>
      <c r="G41" t="s">
        <v>9</v>
      </c>
    </row>
    <row r="42" spans="1:7" x14ac:dyDescent="0.25">
      <c r="A42" t="s">
        <v>77</v>
      </c>
      <c r="B42" t="s">
        <v>78</v>
      </c>
      <c r="C42">
        <v>4.9000000000000004</v>
      </c>
      <c r="D42">
        <v>14344</v>
      </c>
      <c r="E42" s="10">
        <v>5</v>
      </c>
      <c r="F42">
        <v>2017</v>
      </c>
      <c r="G42" t="s">
        <v>12</v>
      </c>
    </row>
    <row r="43" spans="1:7" x14ac:dyDescent="0.25">
      <c r="A43" t="s">
        <v>77</v>
      </c>
      <c r="B43" t="s">
        <v>78</v>
      </c>
      <c r="C43">
        <v>4.9000000000000004</v>
      </c>
      <c r="D43">
        <v>14344</v>
      </c>
      <c r="E43" s="10">
        <v>5</v>
      </c>
      <c r="F43">
        <v>2019</v>
      </c>
      <c r="G43" t="s">
        <v>12</v>
      </c>
    </row>
    <row r="44" spans="1:7" x14ac:dyDescent="0.25">
      <c r="A44" t="s">
        <v>79</v>
      </c>
      <c r="B44" t="s">
        <v>80</v>
      </c>
      <c r="C44">
        <v>4.8</v>
      </c>
      <c r="D44">
        <v>4505</v>
      </c>
      <c r="E44" s="10">
        <v>0</v>
      </c>
      <c r="F44">
        <v>2011</v>
      </c>
      <c r="G44" t="s">
        <v>12</v>
      </c>
    </row>
    <row r="45" spans="1:7" x14ac:dyDescent="0.25">
      <c r="A45" t="s">
        <v>81</v>
      </c>
      <c r="B45" t="s">
        <v>82</v>
      </c>
      <c r="C45">
        <v>4.5999999999999996</v>
      </c>
      <c r="D45">
        <v>10369</v>
      </c>
      <c r="E45" s="10">
        <v>4</v>
      </c>
      <c r="F45">
        <v>2016</v>
      </c>
      <c r="G45" t="s">
        <v>9</v>
      </c>
    </row>
    <row r="46" spans="1:7" x14ac:dyDescent="0.25">
      <c r="A46" t="s">
        <v>83</v>
      </c>
      <c r="B46" t="s">
        <v>84</v>
      </c>
      <c r="C46">
        <v>4.8</v>
      </c>
      <c r="D46">
        <v>16244</v>
      </c>
      <c r="E46" s="10">
        <v>18</v>
      </c>
      <c r="F46">
        <v>2019</v>
      </c>
      <c r="G46" t="s">
        <v>9</v>
      </c>
    </row>
    <row r="47" spans="1:7" x14ac:dyDescent="0.25">
      <c r="A47" t="s">
        <v>85</v>
      </c>
      <c r="B47" t="s">
        <v>86</v>
      </c>
      <c r="C47">
        <v>4.5</v>
      </c>
      <c r="D47">
        <v>2884</v>
      </c>
      <c r="E47" s="10">
        <v>28</v>
      </c>
      <c r="F47">
        <v>2014</v>
      </c>
      <c r="G47" t="s">
        <v>9</v>
      </c>
    </row>
    <row r="48" spans="1:7" x14ac:dyDescent="0.25">
      <c r="A48" t="s">
        <v>87</v>
      </c>
      <c r="B48" t="s">
        <v>88</v>
      </c>
      <c r="C48">
        <v>4.7</v>
      </c>
      <c r="D48">
        <v>22614</v>
      </c>
      <c r="E48" s="10">
        <v>11</v>
      </c>
      <c r="F48">
        <v>2010</v>
      </c>
      <c r="G48" t="s">
        <v>12</v>
      </c>
    </row>
    <row r="49" spans="1:7" x14ac:dyDescent="0.25">
      <c r="A49" t="s">
        <v>87</v>
      </c>
      <c r="B49" t="s">
        <v>88</v>
      </c>
      <c r="C49">
        <v>4.7</v>
      </c>
      <c r="D49">
        <v>22614</v>
      </c>
      <c r="E49" s="10">
        <v>11</v>
      </c>
      <c r="F49">
        <v>2011</v>
      </c>
      <c r="G49" t="s">
        <v>12</v>
      </c>
    </row>
    <row r="50" spans="1:7" x14ac:dyDescent="0.25">
      <c r="A50" t="s">
        <v>87</v>
      </c>
      <c r="B50" t="s">
        <v>88</v>
      </c>
      <c r="C50">
        <v>4.7</v>
      </c>
      <c r="D50">
        <v>22614</v>
      </c>
      <c r="E50" s="10">
        <v>11</v>
      </c>
      <c r="F50">
        <v>2012</v>
      </c>
      <c r="G50" t="s">
        <v>12</v>
      </c>
    </row>
    <row r="51" spans="1:7" x14ac:dyDescent="0.25">
      <c r="A51" t="s">
        <v>89</v>
      </c>
      <c r="B51" t="s">
        <v>90</v>
      </c>
      <c r="C51">
        <v>4.7</v>
      </c>
      <c r="D51">
        <v>4761</v>
      </c>
      <c r="E51" s="10">
        <v>16</v>
      </c>
      <c r="F51">
        <v>2016</v>
      </c>
      <c r="G51" t="s">
        <v>9</v>
      </c>
    </row>
    <row r="52" spans="1:7" x14ac:dyDescent="0.25">
      <c r="A52" t="s">
        <v>91</v>
      </c>
      <c r="B52" t="s">
        <v>92</v>
      </c>
      <c r="C52">
        <v>4.7</v>
      </c>
      <c r="D52">
        <v>1542</v>
      </c>
      <c r="E52" s="10">
        <v>14</v>
      </c>
      <c r="F52">
        <v>2009</v>
      </c>
      <c r="G52" t="s">
        <v>9</v>
      </c>
    </row>
    <row r="53" spans="1:7" x14ac:dyDescent="0.25">
      <c r="A53" t="s">
        <v>91</v>
      </c>
      <c r="B53" t="s">
        <v>92</v>
      </c>
      <c r="C53">
        <v>4.7</v>
      </c>
      <c r="D53">
        <v>1542</v>
      </c>
      <c r="E53" s="10">
        <v>14</v>
      </c>
      <c r="F53">
        <v>2010</v>
      </c>
      <c r="G53" t="s">
        <v>9</v>
      </c>
    </row>
    <row r="54" spans="1:7" x14ac:dyDescent="0.25">
      <c r="A54" t="s">
        <v>91</v>
      </c>
      <c r="B54" t="s">
        <v>92</v>
      </c>
      <c r="C54">
        <v>4.7</v>
      </c>
      <c r="D54">
        <v>1542</v>
      </c>
      <c r="E54" s="10">
        <v>14</v>
      </c>
      <c r="F54">
        <v>2011</v>
      </c>
      <c r="G54" t="s">
        <v>9</v>
      </c>
    </row>
    <row r="55" spans="1:7" x14ac:dyDescent="0.25">
      <c r="A55" t="s">
        <v>93</v>
      </c>
      <c r="B55" t="s">
        <v>94</v>
      </c>
      <c r="C55">
        <v>4.3</v>
      </c>
      <c r="D55">
        <v>6143</v>
      </c>
      <c r="E55" s="10">
        <v>8</v>
      </c>
      <c r="F55">
        <v>2018</v>
      </c>
      <c r="G55" t="s">
        <v>12</v>
      </c>
    </row>
    <row r="56" spans="1:7" x14ac:dyDescent="0.25">
      <c r="A56" t="s">
        <v>95</v>
      </c>
      <c r="B56" t="s">
        <v>96</v>
      </c>
      <c r="C56">
        <v>4.8</v>
      </c>
      <c r="D56">
        <v>4022</v>
      </c>
      <c r="E56" s="10">
        <v>4</v>
      </c>
      <c r="F56">
        <v>2015</v>
      </c>
      <c r="G56" t="s">
        <v>9</v>
      </c>
    </row>
    <row r="57" spans="1:7" x14ac:dyDescent="0.25">
      <c r="A57" t="s">
        <v>97</v>
      </c>
      <c r="B57" t="s">
        <v>96</v>
      </c>
      <c r="C57">
        <v>4.8</v>
      </c>
      <c r="D57">
        <v>3871</v>
      </c>
      <c r="E57" s="10">
        <v>5</v>
      </c>
      <c r="F57">
        <v>2015</v>
      </c>
      <c r="G57" t="s">
        <v>9</v>
      </c>
    </row>
    <row r="58" spans="1:7" x14ac:dyDescent="0.25">
      <c r="A58" t="s">
        <v>98</v>
      </c>
      <c r="B58" t="s">
        <v>99</v>
      </c>
      <c r="C58">
        <v>4.5999999999999996</v>
      </c>
      <c r="D58">
        <v>4866</v>
      </c>
      <c r="E58" s="10">
        <v>11</v>
      </c>
      <c r="F58">
        <v>2010</v>
      </c>
      <c r="G58" t="s">
        <v>12</v>
      </c>
    </row>
    <row r="59" spans="1:7" x14ac:dyDescent="0.25">
      <c r="A59" t="s">
        <v>98</v>
      </c>
      <c r="B59" t="s">
        <v>99</v>
      </c>
      <c r="C59">
        <v>4.5999999999999996</v>
      </c>
      <c r="D59">
        <v>4866</v>
      </c>
      <c r="E59" s="10">
        <v>11</v>
      </c>
      <c r="F59">
        <v>2011</v>
      </c>
      <c r="G59" t="s">
        <v>12</v>
      </c>
    </row>
    <row r="60" spans="1:7" x14ac:dyDescent="0.25">
      <c r="A60" t="s">
        <v>100</v>
      </c>
      <c r="B60" t="s">
        <v>101</v>
      </c>
      <c r="C60">
        <v>4.8</v>
      </c>
      <c r="D60">
        <v>1329</v>
      </c>
      <c r="E60" s="10">
        <v>10</v>
      </c>
      <c r="F60">
        <v>2013</v>
      </c>
      <c r="G60" t="s">
        <v>9</v>
      </c>
    </row>
    <row r="61" spans="1:7" x14ac:dyDescent="0.25">
      <c r="A61" t="s">
        <v>102</v>
      </c>
      <c r="B61" t="s">
        <v>103</v>
      </c>
      <c r="C61">
        <v>4.4000000000000004</v>
      </c>
      <c r="D61">
        <v>4642</v>
      </c>
      <c r="E61" s="10">
        <v>13</v>
      </c>
      <c r="F61">
        <v>2013</v>
      </c>
      <c r="G61" t="s">
        <v>9</v>
      </c>
    </row>
    <row r="62" spans="1:7" x14ac:dyDescent="0.25">
      <c r="A62" t="s">
        <v>104</v>
      </c>
      <c r="B62" t="s">
        <v>105</v>
      </c>
      <c r="C62">
        <v>4.5999999999999996</v>
      </c>
      <c r="D62">
        <v>1541</v>
      </c>
      <c r="E62" s="10">
        <v>4</v>
      </c>
      <c r="F62">
        <v>2009</v>
      </c>
      <c r="G62" t="s">
        <v>12</v>
      </c>
    </row>
    <row r="63" spans="1:7" x14ac:dyDescent="0.25">
      <c r="A63" t="s">
        <v>106</v>
      </c>
      <c r="B63" t="s">
        <v>105</v>
      </c>
      <c r="C63">
        <v>4.3</v>
      </c>
      <c r="D63">
        <v>1924</v>
      </c>
      <c r="E63" s="10">
        <v>8</v>
      </c>
      <c r="F63">
        <v>2010</v>
      </c>
      <c r="G63" t="s">
        <v>12</v>
      </c>
    </row>
    <row r="64" spans="1:7" x14ac:dyDescent="0.25">
      <c r="A64" t="s">
        <v>107</v>
      </c>
      <c r="B64" t="s">
        <v>105</v>
      </c>
      <c r="C64">
        <v>4.2</v>
      </c>
      <c r="D64">
        <v>2094</v>
      </c>
      <c r="E64" s="10">
        <v>4</v>
      </c>
      <c r="F64">
        <v>2011</v>
      </c>
      <c r="G64" t="s">
        <v>12</v>
      </c>
    </row>
    <row r="65" spans="1:7" x14ac:dyDescent="0.25">
      <c r="A65" t="s">
        <v>108</v>
      </c>
      <c r="B65" t="s">
        <v>109</v>
      </c>
      <c r="C65">
        <v>4.8</v>
      </c>
      <c r="D65">
        <v>10922</v>
      </c>
      <c r="E65" s="10">
        <v>5</v>
      </c>
      <c r="F65">
        <v>2015</v>
      </c>
      <c r="G65" t="s">
        <v>12</v>
      </c>
    </row>
    <row r="66" spans="1:7" x14ac:dyDescent="0.25">
      <c r="A66" t="s">
        <v>108</v>
      </c>
      <c r="B66" t="s">
        <v>109</v>
      </c>
      <c r="C66">
        <v>4.8</v>
      </c>
      <c r="D66">
        <v>10922</v>
      </c>
      <c r="E66" s="10">
        <v>5</v>
      </c>
      <c r="F66">
        <v>2016</v>
      </c>
      <c r="G66" t="s">
        <v>12</v>
      </c>
    </row>
    <row r="67" spans="1:7" x14ac:dyDescent="0.25">
      <c r="A67" t="s">
        <v>108</v>
      </c>
      <c r="B67" t="s">
        <v>109</v>
      </c>
      <c r="C67">
        <v>4.8</v>
      </c>
      <c r="D67">
        <v>10922</v>
      </c>
      <c r="E67" s="10">
        <v>5</v>
      </c>
      <c r="F67">
        <v>2017</v>
      </c>
      <c r="G67" t="s">
        <v>12</v>
      </c>
    </row>
    <row r="68" spans="1:7" x14ac:dyDescent="0.25">
      <c r="A68" t="s">
        <v>108</v>
      </c>
      <c r="B68" t="s">
        <v>109</v>
      </c>
      <c r="C68">
        <v>4.8</v>
      </c>
      <c r="D68">
        <v>10922</v>
      </c>
      <c r="E68" s="10">
        <v>5</v>
      </c>
      <c r="F68">
        <v>2018</v>
      </c>
      <c r="G68" t="s">
        <v>12</v>
      </c>
    </row>
    <row r="69" spans="1:7" x14ac:dyDescent="0.25">
      <c r="A69" t="s">
        <v>110</v>
      </c>
      <c r="B69" t="s">
        <v>111</v>
      </c>
      <c r="C69">
        <v>4.5999999999999996</v>
      </c>
      <c r="D69">
        <v>2137</v>
      </c>
      <c r="E69" s="10">
        <v>17</v>
      </c>
      <c r="F69">
        <v>2010</v>
      </c>
      <c r="G69" t="s">
        <v>9</v>
      </c>
    </row>
    <row r="70" spans="1:7" x14ac:dyDescent="0.25">
      <c r="A70" t="s">
        <v>112</v>
      </c>
      <c r="B70" t="s">
        <v>113</v>
      </c>
      <c r="C70">
        <v>4.5999999999999996</v>
      </c>
      <c r="D70">
        <v>1651</v>
      </c>
      <c r="E70" s="10">
        <v>15</v>
      </c>
      <c r="F70">
        <v>2010</v>
      </c>
      <c r="G70" t="s">
        <v>9</v>
      </c>
    </row>
    <row r="71" spans="1:7" x14ac:dyDescent="0.25">
      <c r="A71" t="s">
        <v>114</v>
      </c>
      <c r="B71" t="s">
        <v>115</v>
      </c>
      <c r="C71">
        <v>4.5</v>
      </c>
      <c r="D71">
        <v>6679</v>
      </c>
      <c r="E71" s="10">
        <v>105</v>
      </c>
      <c r="F71">
        <v>2013</v>
      </c>
      <c r="G71" t="s">
        <v>9</v>
      </c>
    </row>
    <row r="72" spans="1:7" x14ac:dyDescent="0.25">
      <c r="A72" t="s">
        <v>114</v>
      </c>
      <c r="B72" t="s">
        <v>115</v>
      </c>
      <c r="C72">
        <v>4.5</v>
      </c>
      <c r="D72">
        <v>6679</v>
      </c>
      <c r="E72" s="10">
        <v>105</v>
      </c>
      <c r="F72">
        <v>2014</v>
      </c>
      <c r="G72" t="s">
        <v>9</v>
      </c>
    </row>
    <row r="73" spans="1:7" x14ac:dyDescent="0.25">
      <c r="A73" t="s">
        <v>116</v>
      </c>
      <c r="B73" t="s">
        <v>80</v>
      </c>
      <c r="C73">
        <v>4.8</v>
      </c>
      <c r="D73">
        <v>6812</v>
      </c>
      <c r="E73" s="10">
        <v>0</v>
      </c>
      <c r="F73">
        <v>2013</v>
      </c>
      <c r="G73" t="s">
        <v>12</v>
      </c>
    </row>
    <row r="74" spans="1:7" x14ac:dyDescent="0.25">
      <c r="A74" t="s">
        <v>117</v>
      </c>
      <c r="B74" t="s">
        <v>80</v>
      </c>
      <c r="C74">
        <v>4.8</v>
      </c>
      <c r="D74">
        <v>3837</v>
      </c>
      <c r="E74" s="10">
        <v>15</v>
      </c>
      <c r="F74">
        <v>2009</v>
      </c>
      <c r="G74" t="s">
        <v>12</v>
      </c>
    </row>
    <row r="75" spans="1:7" x14ac:dyDescent="0.25">
      <c r="A75" t="s">
        <v>118</v>
      </c>
      <c r="B75" t="s">
        <v>80</v>
      </c>
      <c r="C75">
        <v>4.8</v>
      </c>
      <c r="D75">
        <v>6540</v>
      </c>
      <c r="E75" s="10">
        <v>22</v>
      </c>
      <c r="F75">
        <v>2014</v>
      </c>
      <c r="G75" t="s">
        <v>12</v>
      </c>
    </row>
    <row r="76" spans="1:7" x14ac:dyDescent="0.25">
      <c r="A76" t="s">
        <v>119</v>
      </c>
      <c r="B76" t="s">
        <v>120</v>
      </c>
      <c r="C76">
        <v>4.5999999999999996</v>
      </c>
      <c r="D76">
        <v>7955</v>
      </c>
      <c r="E76" s="10">
        <v>5</v>
      </c>
      <c r="F76">
        <v>2019</v>
      </c>
      <c r="G76" t="s">
        <v>9</v>
      </c>
    </row>
    <row r="77" spans="1:7" x14ac:dyDescent="0.25">
      <c r="A77" t="s">
        <v>121</v>
      </c>
      <c r="B77" t="s">
        <v>48</v>
      </c>
      <c r="C77">
        <v>4.5999999999999996</v>
      </c>
      <c r="D77">
        <v>27098</v>
      </c>
      <c r="E77" s="10">
        <v>15</v>
      </c>
      <c r="F77">
        <v>2013</v>
      </c>
      <c r="G77" t="s">
        <v>12</v>
      </c>
    </row>
    <row r="78" spans="1:7" x14ac:dyDescent="0.25">
      <c r="A78" t="s">
        <v>121</v>
      </c>
      <c r="B78" t="s">
        <v>48</v>
      </c>
      <c r="C78">
        <v>4.5999999999999996</v>
      </c>
      <c r="D78">
        <v>27098</v>
      </c>
      <c r="E78" s="10">
        <v>15</v>
      </c>
      <c r="F78">
        <v>2014</v>
      </c>
      <c r="G78" t="s">
        <v>12</v>
      </c>
    </row>
    <row r="79" spans="1:7" x14ac:dyDescent="0.25">
      <c r="A79" t="s">
        <v>122</v>
      </c>
      <c r="B79" t="s">
        <v>48</v>
      </c>
      <c r="C79">
        <v>4.5</v>
      </c>
      <c r="D79">
        <v>17684</v>
      </c>
      <c r="E79" s="10">
        <v>6</v>
      </c>
      <c r="F79">
        <v>2014</v>
      </c>
      <c r="G79" t="s">
        <v>12</v>
      </c>
    </row>
    <row r="80" spans="1:7" x14ac:dyDescent="0.25">
      <c r="A80" t="s">
        <v>123</v>
      </c>
      <c r="B80" t="s">
        <v>124</v>
      </c>
      <c r="C80">
        <v>4.5999999999999996</v>
      </c>
      <c r="D80">
        <v>37</v>
      </c>
      <c r="E80" s="10">
        <v>6</v>
      </c>
      <c r="F80">
        <v>2009</v>
      </c>
      <c r="G80" t="s">
        <v>9</v>
      </c>
    </row>
    <row r="81" spans="1:7" x14ac:dyDescent="0.25">
      <c r="A81" t="s">
        <v>125</v>
      </c>
      <c r="B81" t="s">
        <v>11</v>
      </c>
      <c r="C81">
        <v>4.7</v>
      </c>
      <c r="D81">
        <v>15845</v>
      </c>
      <c r="E81" s="10">
        <v>13</v>
      </c>
      <c r="F81">
        <v>2013</v>
      </c>
      <c r="G81" t="s">
        <v>12</v>
      </c>
    </row>
    <row r="82" spans="1:7" x14ac:dyDescent="0.25">
      <c r="A82" t="s">
        <v>126</v>
      </c>
      <c r="B82" t="s">
        <v>80</v>
      </c>
      <c r="C82">
        <v>4.8</v>
      </c>
      <c r="D82">
        <v>3181</v>
      </c>
      <c r="E82" s="10">
        <v>12</v>
      </c>
      <c r="F82">
        <v>2009</v>
      </c>
      <c r="G82" t="s">
        <v>12</v>
      </c>
    </row>
    <row r="83" spans="1:7" x14ac:dyDescent="0.25">
      <c r="A83" t="s">
        <v>127</v>
      </c>
      <c r="B83" t="s">
        <v>128</v>
      </c>
      <c r="C83">
        <v>4.9000000000000004</v>
      </c>
      <c r="D83">
        <v>5062</v>
      </c>
      <c r="E83" s="10">
        <v>6</v>
      </c>
      <c r="F83">
        <v>2018</v>
      </c>
      <c r="G83" t="s">
        <v>12</v>
      </c>
    </row>
    <row r="84" spans="1:7" x14ac:dyDescent="0.25">
      <c r="A84" t="s">
        <v>129</v>
      </c>
      <c r="B84" t="s">
        <v>128</v>
      </c>
      <c r="C84">
        <v>4.9000000000000004</v>
      </c>
      <c r="D84">
        <v>4786</v>
      </c>
      <c r="E84" s="10">
        <v>8</v>
      </c>
      <c r="F84">
        <v>2017</v>
      </c>
      <c r="G84" t="s">
        <v>12</v>
      </c>
    </row>
    <row r="85" spans="1:7" x14ac:dyDescent="0.25">
      <c r="A85" t="s">
        <v>130</v>
      </c>
      <c r="B85" t="s">
        <v>128</v>
      </c>
      <c r="C85">
        <v>4.9000000000000004</v>
      </c>
      <c r="D85">
        <v>7235</v>
      </c>
      <c r="E85" s="10">
        <v>4</v>
      </c>
      <c r="F85">
        <v>2018</v>
      </c>
      <c r="G85" t="s">
        <v>12</v>
      </c>
    </row>
    <row r="86" spans="1:7" x14ac:dyDescent="0.25">
      <c r="A86" t="s">
        <v>130</v>
      </c>
      <c r="B86" t="s">
        <v>128</v>
      </c>
      <c r="C86">
        <v>4.9000000000000004</v>
      </c>
      <c r="D86">
        <v>7235</v>
      </c>
      <c r="E86" s="10">
        <v>4</v>
      </c>
      <c r="F86">
        <v>2019</v>
      </c>
      <c r="G86" t="s">
        <v>12</v>
      </c>
    </row>
    <row r="87" spans="1:7" x14ac:dyDescent="0.25">
      <c r="A87" t="s">
        <v>131</v>
      </c>
      <c r="B87" t="s">
        <v>128</v>
      </c>
      <c r="C87">
        <v>4.9000000000000004</v>
      </c>
      <c r="D87">
        <v>12619</v>
      </c>
      <c r="E87" s="10">
        <v>8</v>
      </c>
      <c r="F87">
        <v>2019</v>
      </c>
      <c r="G87" t="s">
        <v>12</v>
      </c>
    </row>
    <row r="88" spans="1:7" x14ac:dyDescent="0.25">
      <c r="A88" t="s">
        <v>132</v>
      </c>
      <c r="B88" t="s">
        <v>128</v>
      </c>
      <c r="C88">
        <v>4.9000000000000004</v>
      </c>
      <c r="D88">
        <v>9089</v>
      </c>
      <c r="E88" s="10">
        <v>8</v>
      </c>
      <c r="F88">
        <v>2019</v>
      </c>
      <c r="G88" t="s">
        <v>12</v>
      </c>
    </row>
    <row r="89" spans="1:7" x14ac:dyDescent="0.25">
      <c r="A89" t="s">
        <v>133</v>
      </c>
      <c r="B89" t="s">
        <v>128</v>
      </c>
      <c r="C89">
        <v>4.9000000000000004</v>
      </c>
      <c r="D89">
        <v>5470</v>
      </c>
      <c r="E89" s="10">
        <v>6</v>
      </c>
      <c r="F89">
        <v>2018</v>
      </c>
      <c r="G89" t="s">
        <v>12</v>
      </c>
    </row>
    <row r="90" spans="1:7" x14ac:dyDescent="0.25">
      <c r="A90" t="s">
        <v>134</v>
      </c>
      <c r="B90" t="s">
        <v>80</v>
      </c>
      <c r="C90">
        <v>4.8</v>
      </c>
      <c r="D90">
        <v>5118</v>
      </c>
      <c r="E90" s="10">
        <v>20</v>
      </c>
      <c r="F90">
        <v>2016</v>
      </c>
      <c r="G90" t="s">
        <v>12</v>
      </c>
    </row>
    <row r="91" spans="1:7" x14ac:dyDescent="0.25">
      <c r="A91" t="s">
        <v>135</v>
      </c>
      <c r="B91" t="s">
        <v>136</v>
      </c>
      <c r="C91">
        <v>4.5999999999999996</v>
      </c>
      <c r="D91">
        <v>2134</v>
      </c>
      <c r="E91" s="10">
        <v>5</v>
      </c>
      <c r="F91">
        <v>2015</v>
      </c>
      <c r="G91" t="s">
        <v>9</v>
      </c>
    </row>
    <row r="92" spans="1:7" x14ac:dyDescent="0.25">
      <c r="A92" t="s">
        <v>137</v>
      </c>
      <c r="B92" t="s">
        <v>138</v>
      </c>
      <c r="C92">
        <v>4.5</v>
      </c>
      <c r="D92">
        <v>2525</v>
      </c>
      <c r="E92" s="10">
        <v>16</v>
      </c>
      <c r="F92">
        <v>2010</v>
      </c>
      <c r="G92" t="s">
        <v>9</v>
      </c>
    </row>
    <row r="93" spans="1:7" x14ac:dyDescent="0.25">
      <c r="A93" t="s">
        <v>139</v>
      </c>
      <c r="B93" t="s">
        <v>140</v>
      </c>
      <c r="C93">
        <v>4.5</v>
      </c>
      <c r="D93">
        <v>720</v>
      </c>
      <c r="E93" s="10">
        <v>1</v>
      </c>
      <c r="F93">
        <v>2009</v>
      </c>
      <c r="G93" t="s">
        <v>9</v>
      </c>
    </row>
    <row r="94" spans="1:7" x14ac:dyDescent="0.25">
      <c r="A94" t="s">
        <v>141</v>
      </c>
      <c r="B94" t="s">
        <v>140</v>
      </c>
      <c r="C94">
        <v>4.3</v>
      </c>
      <c r="D94">
        <v>956</v>
      </c>
      <c r="E94" s="10">
        <v>14</v>
      </c>
      <c r="F94">
        <v>2009</v>
      </c>
      <c r="G94" t="s">
        <v>9</v>
      </c>
    </row>
    <row r="95" spans="1:7" x14ac:dyDescent="0.25">
      <c r="A95" t="s">
        <v>142</v>
      </c>
      <c r="B95" t="s">
        <v>143</v>
      </c>
      <c r="C95">
        <v>4.5</v>
      </c>
      <c r="D95">
        <v>6346</v>
      </c>
      <c r="E95" s="10">
        <v>9</v>
      </c>
      <c r="F95">
        <v>2011</v>
      </c>
      <c r="G95" t="s">
        <v>9</v>
      </c>
    </row>
    <row r="96" spans="1:7" x14ac:dyDescent="0.25">
      <c r="A96" t="s">
        <v>142</v>
      </c>
      <c r="B96" t="s">
        <v>143</v>
      </c>
      <c r="C96">
        <v>4.5</v>
      </c>
      <c r="D96">
        <v>6346</v>
      </c>
      <c r="E96" s="10">
        <v>9</v>
      </c>
      <c r="F96">
        <v>2012</v>
      </c>
      <c r="G96" t="s">
        <v>9</v>
      </c>
    </row>
    <row r="97" spans="1:7" x14ac:dyDescent="0.25">
      <c r="A97" t="s">
        <v>144</v>
      </c>
      <c r="B97" t="s">
        <v>75</v>
      </c>
      <c r="C97">
        <v>4.7</v>
      </c>
      <c r="D97">
        <v>5505</v>
      </c>
      <c r="E97" s="10">
        <v>7</v>
      </c>
      <c r="F97">
        <v>2009</v>
      </c>
      <c r="G97" t="s">
        <v>12</v>
      </c>
    </row>
    <row r="98" spans="1:7" x14ac:dyDescent="0.25">
      <c r="A98" t="s">
        <v>145</v>
      </c>
      <c r="B98" t="s">
        <v>75</v>
      </c>
      <c r="C98">
        <v>4.7</v>
      </c>
      <c r="D98">
        <v>5505</v>
      </c>
      <c r="E98" s="10">
        <v>18</v>
      </c>
      <c r="F98">
        <v>2009</v>
      </c>
      <c r="G98" t="s">
        <v>12</v>
      </c>
    </row>
    <row r="99" spans="1:7" x14ac:dyDescent="0.25">
      <c r="A99" t="s">
        <v>146</v>
      </c>
      <c r="B99" t="s">
        <v>147</v>
      </c>
      <c r="C99">
        <v>4.7</v>
      </c>
      <c r="D99">
        <v>28729</v>
      </c>
      <c r="E99" s="10">
        <v>15</v>
      </c>
      <c r="F99">
        <v>2018</v>
      </c>
      <c r="G99" t="s">
        <v>9</v>
      </c>
    </row>
    <row r="100" spans="1:7" x14ac:dyDescent="0.25">
      <c r="A100" t="s">
        <v>146</v>
      </c>
      <c r="B100" t="s">
        <v>147</v>
      </c>
      <c r="C100">
        <v>4.7</v>
      </c>
      <c r="D100">
        <v>28729</v>
      </c>
      <c r="E100" s="10">
        <v>15</v>
      </c>
      <c r="F100">
        <v>2019</v>
      </c>
      <c r="G100" t="s">
        <v>9</v>
      </c>
    </row>
    <row r="101" spans="1:7" x14ac:dyDescent="0.25">
      <c r="A101" t="s">
        <v>148</v>
      </c>
      <c r="B101" t="s">
        <v>149</v>
      </c>
      <c r="C101">
        <v>4.7</v>
      </c>
      <c r="D101">
        <v>5413</v>
      </c>
      <c r="E101" s="10">
        <v>9</v>
      </c>
      <c r="F101">
        <v>2015</v>
      </c>
      <c r="G101" t="s">
        <v>9</v>
      </c>
    </row>
    <row r="102" spans="1:7" x14ac:dyDescent="0.25">
      <c r="A102" t="s">
        <v>150</v>
      </c>
      <c r="B102" t="s">
        <v>151</v>
      </c>
      <c r="C102">
        <v>4.5999999999999996</v>
      </c>
      <c r="D102">
        <v>10721</v>
      </c>
      <c r="E102" s="10">
        <v>8</v>
      </c>
      <c r="F102">
        <v>2016</v>
      </c>
      <c r="G102" t="s">
        <v>12</v>
      </c>
    </row>
    <row r="103" spans="1:7" x14ac:dyDescent="0.25">
      <c r="A103" t="s">
        <v>150</v>
      </c>
      <c r="B103" t="s">
        <v>151</v>
      </c>
      <c r="C103">
        <v>4.5999999999999996</v>
      </c>
      <c r="D103">
        <v>10721</v>
      </c>
      <c r="E103" s="10">
        <v>8</v>
      </c>
      <c r="F103">
        <v>2018</v>
      </c>
      <c r="G103" t="s">
        <v>12</v>
      </c>
    </row>
    <row r="104" spans="1:7" x14ac:dyDescent="0.25">
      <c r="A104" t="s">
        <v>152</v>
      </c>
      <c r="B104" t="s">
        <v>153</v>
      </c>
      <c r="C104">
        <v>4.7</v>
      </c>
      <c r="D104">
        <v>4370</v>
      </c>
      <c r="E104" s="10">
        <v>15</v>
      </c>
      <c r="F104">
        <v>2016</v>
      </c>
      <c r="G104" t="s">
        <v>12</v>
      </c>
    </row>
    <row r="105" spans="1:7" x14ac:dyDescent="0.25">
      <c r="A105" t="s">
        <v>154</v>
      </c>
      <c r="B105" t="s">
        <v>155</v>
      </c>
      <c r="C105">
        <v>4.4000000000000004</v>
      </c>
      <c r="D105">
        <v>6042</v>
      </c>
      <c r="E105" s="10">
        <v>2</v>
      </c>
      <c r="F105">
        <v>2018</v>
      </c>
      <c r="G105" t="s">
        <v>9</v>
      </c>
    </row>
    <row r="106" spans="1:7" x14ac:dyDescent="0.25">
      <c r="A106" t="s">
        <v>156</v>
      </c>
      <c r="B106" t="s">
        <v>157</v>
      </c>
      <c r="C106">
        <v>4.4000000000000004</v>
      </c>
      <c r="D106">
        <v>23631</v>
      </c>
      <c r="E106" s="10">
        <v>7</v>
      </c>
      <c r="F106">
        <v>2012</v>
      </c>
      <c r="G106" t="s">
        <v>12</v>
      </c>
    </row>
    <row r="107" spans="1:7" x14ac:dyDescent="0.25">
      <c r="A107" t="s">
        <v>158</v>
      </c>
      <c r="B107" t="s">
        <v>157</v>
      </c>
      <c r="C107">
        <v>4.5</v>
      </c>
      <c r="D107">
        <v>20262</v>
      </c>
      <c r="E107" s="10">
        <v>11</v>
      </c>
      <c r="F107">
        <v>2012</v>
      </c>
      <c r="G107" t="s">
        <v>12</v>
      </c>
    </row>
    <row r="108" spans="1:7" x14ac:dyDescent="0.25">
      <c r="A108" t="s">
        <v>159</v>
      </c>
      <c r="B108" t="s">
        <v>157</v>
      </c>
      <c r="C108">
        <v>3.8</v>
      </c>
      <c r="D108">
        <v>47265</v>
      </c>
      <c r="E108" s="10">
        <v>14</v>
      </c>
      <c r="F108">
        <v>2012</v>
      </c>
      <c r="G108" t="s">
        <v>12</v>
      </c>
    </row>
    <row r="109" spans="1:7" x14ac:dyDescent="0.25">
      <c r="A109" t="s">
        <v>159</v>
      </c>
      <c r="B109" t="s">
        <v>157</v>
      </c>
      <c r="C109">
        <v>3.8</v>
      </c>
      <c r="D109">
        <v>47265</v>
      </c>
      <c r="E109" s="10">
        <v>14</v>
      </c>
      <c r="F109">
        <v>2013</v>
      </c>
      <c r="G109" t="s">
        <v>12</v>
      </c>
    </row>
    <row r="110" spans="1:7" x14ac:dyDescent="0.25">
      <c r="A110" t="s">
        <v>160</v>
      </c>
      <c r="B110" t="s">
        <v>157</v>
      </c>
      <c r="C110">
        <v>4.5</v>
      </c>
      <c r="D110">
        <v>13964</v>
      </c>
      <c r="E110" s="10">
        <v>32</v>
      </c>
      <c r="F110">
        <v>2012</v>
      </c>
      <c r="G110" t="s">
        <v>12</v>
      </c>
    </row>
    <row r="111" spans="1:7" x14ac:dyDescent="0.25">
      <c r="A111" t="s">
        <v>161</v>
      </c>
      <c r="B111" t="s">
        <v>162</v>
      </c>
      <c r="C111">
        <v>4.2</v>
      </c>
      <c r="D111">
        <v>13677</v>
      </c>
      <c r="E111" s="10">
        <v>6</v>
      </c>
      <c r="F111">
        <v>2018</v>
      </c>
      <c r="G111" t="s">
        <v>9</v>
      </c>
    </row>
    <row r="112" spans="1:7" x14ac:dyDescent="0.25">
      <c r="A112" t="s">
        <v>163</v>
      </c>
      <c r="B112" t="s">
        <v>164</v>
      </c>
      <c r="C112">
        <v>4.7</v>
      </c>
      <c r="D112">
        <v>17323</v>
      </c>
      <c r="E112" s="10">
        <v>4</v>
      </c>
      <c r="F112">
        <v>2014</v>
      </c>
      <c r="G112" t="s">
        <v>9</v>
      </c>
    </row>
    <row r="113" spans="1:7" x14ac:dyDescent="0.25">
      <c r="A113" t="s">
        <v>163</v>
      </c>
      <c r="B113" t="s">
        <v>164</v>
      </c>
      <c r="C113">
        <v>4.7</v>
      </c>
      <c r="D113">
        <v>17323</v>
      </c>
      <c r="E113" s="10">
        <v>4</v>
      </c>
      <c r="F113">
        <v>2015</v>
      </c>
      <c r="G113" t="s">
        <v>9</v>
      </c>
    </row>
    <row r="114" spans="1:7" x14ac:dyDescent="0.25">
      <c r="A114" t="s">
        <v>163</v>
      </c>
      <c r="B114" t="s">
        <v>164</v>
      </c>
      <c r="C114">
        <v>4.7</v>
      </c>
      <c r="D114">
        <v>17323</v>
      </c>
      <c r="E114" s="10">
        <v>4</v>
      </c>
      <c r="F114">
        <v>2016</v>
      </c>
      <c r="G114" t="s">
        <v>9</v>
      </c>
    </row>
    <row r="115" spans="1:7" x14ac:dyDescent="0.25">
      <c r="A115" t="s">
        <v>163</v>
      </c>
      <c r="B115" t="s">
        <v>164</v>
      </c>
      <c r="C115">
        <v>4.7</v>
      </c>
      <c r="D115">
        <v>17323</v>
      </c>
      <c r="E115" s="10">
        <v>4</v>
      </c>
      <c r="F115">
        <v>2017</v>
      </c>
      <c r="G115" t="s">
        <v>9</v>
      </c>
    </row>
    <row r="116" spans="1:7" x14ac:dyDescent="0.25">
      <c r="A116" t="s">
        <v>163</v>
      </c>
      <c r="B116" t="s">
        <v>164</v>
      </c>
      <c r="C116">
        <v>4.7</v>
      </c>
      <c r="D116">
        <v>17323</v>
      </c>
      <c r="E116" s="10">
        <v>4</v>
      </c>
      <c r="F116">
        <v>2018</v>
      </c>
      <c r="G116" t="s">
        <v>9</v>
      </c>
    </row>
    <row r="117" spans="1:7" x14ac:dyDescent="0.25">
      <c r="A117" t="s">
        <v>165</v>
      </c>
      <c r="B117" t="s">
        <v>166</v>
      </c>
      <c r="C117">
        <v>4.4000000000000004</v>
      </c>
      <c r="D117">
        <v>1555</v>
      </c>
      <c r="E117" s="10">
        <v>9</v>
      </c>
      <c r="F117">
        <v>2010</v>
      </c>
      <c r="G117" t="s">
        <v>9</v>
      </c>
    </row>
    <row r="118" spans="1:7" x14ac:dyDescent="0.25">
      <c r="A118" t="s">
        <v>167</v>
      </c>
      <c r="B118" t="s">
        <v>168</v>
      </c>
      <c r="C118">
        <v>4.7</v>
      </c>
      <c r="D118">
        <v>3642</v>
      </c>
      <c r="E118" s="10">
        <v>0</v>
      </c>
      <c r="F118">
        <v>2014</v>
      </c>
      <c r="G118" t="s">
        <v>12</v>
      </c>
    </row>
    <row r="119" spans="1:7" x14ac:dyDescent="0.25">
      <c r="A119" t="s">
        <v>169</v>
      </c>
      <c r="B119" t="s">
        <v>170</v>
      </c>
      <c r="C119">
        <v>4.4000000000000004</v>
      </c>
      <c r="D119">
        <v>1215</v>
      </c>
      <c r="E119" s="10">
        <v>9</v>
      </c>
      <c r="F119">
        <v>2010</v>
      </c>
      <c r="G119" t="s">
        <v>9</v>
      </c>
    </row>
    <row r="120" spans="1:7" x14ac:dyDescent="0.25">
      <c r="A120" t="s">
        <v>171</v>
      </c>
      <c r="B120" t="s">
        <v>172</v>
      </c>
      <c r="C120">
        <v>4.5999999999999996</v>
      </c>
      <c r="D120">
        <v>5594</v>
      </c>
      <c r="E120" s="10">
        <v>5</v>
      </c>
      <c r="F120">
        <v>2011</v>
      </c>
      <c r="G120" t="s">
        <v>12</v>
      </c>
    </row>
    <row r="121" spans="1:7" x14ac:dyDescent="0.25">
      <c r="A121" t="s">
        <v>171</v>
      </c>
      <c r="B121" t="s">
        <v>172</v>
      </c>
      <c r="C121">
        <v>4.5999999999999996</v>
      </c>
      <c r="D121">
        <v>5594</v>
      </c>
      <c r="E121" s="10">
        <v>5</v>
      </c>
      <c r="F121">
        <v>2012</v>
      </c>
      <c r="G121" t="s">
        <v>12</v>
      </c>
    </row>
    <row r="122" spans="1:7" x14ac:dyDescent="0.25">
      <c r="A122" t="s">
        <v>171</v>
      </c>
      <c r="B122" t="s">
        <v>172</v>
      </c>
      <c r="C122">
        <v>4.5999999999999996</v>
      </c>
      <c r="D122">
        <v>5594</v>
      </c>
      <c r="E122" s="10">
        <v>5</v>
      </c>
      <c r="F122">
        <v>2013</v>
      </c>
      <c r="G122" t="s">
        <v>12</v>
      </c>
    </row>
    <row r="123" spans="1:7" x14ac:dyDescent="0.25">
      <c r="A123" t="s">
        <v>173</v>
      </c>
      <c r="B123" t="s">
        <v>174</v>
      </c>
      <c r="C123">
        <v>4.5</v>
      </c>
      <c r="D123">
        <v>408</v>
      </c>
      <c r="E123" s="10">
        <v>20</v>
      </c>
      <c r="F123">
        <v>2010</v>
      </c>
      <c r="G123" t="s">
        <v>9</v>
      </c>
    </row>
    <row r="124" spans="1:7" x14ac:dyDescent="0.25">
      <c r="A124" t="s">
        <v>175</v>
      </c>
      <c r="B124" t="s">
        <v>176</v>
      </c>
      <c r="C124">
        <v>4.5999999999999996</v>
      </c>
      <c r="D124">
        <v>4799</v>
      </c>
      <c r="E124" s="10">
        <v>16</v>
      </c>
      <c r="F124">
        <v>2013</v>
      </c>
      <c r="G124" t="s">
        <v>9</v>
      </c>
    </row>
    <row r="125" spans="1:7" x14ac:dyDescent="0.25">
      <c r="A125" t="s">
        <v>177</v>
      </c>
      <c r="B125" t="s">
        <v>178</v>
      </c>
      <c r="C125">
        <v>4.8</v>
      </c>
      <c r="D125">
        <v>14038</v>
      </c>
      <c r="E125" s="10">
        <v>4</v>
      </c>
      <c r="F125">
        <v>2015</v>
      </c>
      <c r="G125" t="s">
        <v>12</v>
      </c>
    </row>
    <row r="126" spans="1:7" x14ac:dyDescent="0.25">
      <c r="A126" t="s">
        <v>177</v>
      </c>
      <c r="B126" t="s">
        <v>178</v>
      </c>
      <c r="C126">
        <v>4.8</v>
      </c>
      <c r="D126">
        <v>14038</v>
      </c>
      <c r="E126" s="10">
        <v>4</v>
      </c>
      <c r="F126">
        <v>2016</v>
      </c>
      <c r="G126" t="s">
        <v>12</v>
      </c>
    </row>
    <row r="127" spans="1:7" x14ac:dyDescent="0.25">
      <c r="A127" t="s">
        <v>177</v>
      </c>
      <c r="B127" t="s">
        <v>178</v>
      </c>
      <c r="C127">
        <v>4.8</v>
      </c>
      <c r="D127">
        <v>14038</v>
      </c>
      <c r="E127" s="10">
        <v>4</v>
      </c>
      <c r="F127">
        <v>2017</v>
      </c>
      <c r="G127" t="s">
        <v>12</v>
      </c>
    </row>
    <row r="128" spans="1:7" x14ac:dyDescent="0.25">
      <c r="A128" t="s">
        <v>177</v>
      </c>
      <c r="B128" t="s">
        <v>178</v>
      </c>
      <c r="C128">
        <v>4.8</v>
      </c>
      <c r="D128">
        <v>14038</v>
      </c>
      <c r="E128" s="10">
        <v>4</v>
      </c>
      <c r="F128">
        <v>2018</v>
      </c>
      <c r="G128" t="s">
        <v>12</v>
      </c>
    </row>
    <row r="129" spans="1:7" x14ac:dyDescent="0.25">
      <c r="A129" t="s">
        <v>177</v>
      </c>
      <c r="B129" t="s">
        <v>178</v>
      </c>
      <c r="C129">
        <v>4.8</v>
      </c>
      <c r="D129">
        <v>14038</v>
      </c>
      <c r="E129" s="10">
        <v>4</v>
      </c>
      <c r="F129">
        <v>2019</v>
      </c>
      <c r="G129" t="s">
        <v>12</v>
      </c>
    </row>
    <row r="130" spans="1:7" x14ac:dyDescent="0.25">
      <c r="A130" t="s">
        <v>179</v>
      </c>
      <c r="B130" t="s">
        <v>180</v>
      </c>
      <c r="C130">
        <v>4.5999999999999996</v>
      </c>
      <c r="D130">
        <v>7660</v>
      </c>
      <c r="E130" s="10">
        <v>12</v>
      </c>
      <c r="F130">
        <v>2019</v>
      </c>
      <c r="G130" t="s">
        <v>9</v>
      </c>
    </row>
    <row r="131" spans="1:7" x14ac:dyDescent="0.25">
      <c r="A131" t="s">
        <v>181</v>
      </c>
      <c r="B131" t="s">
        <v>180</v>
      </c>
      <c r="C131">
        <v>4.5999999999999996</v>
      </c>
      <c r="D131">
        <v>22288</v>
      </c>
      <c r="E131" s="10">
        <v>12</v>
      </c>
      <c r="F131">
        <v>2018</v>
      </c>
      <c r="G131" t="s">
        <v>9</v>
      </c>
    </row>
    <row r="132" spans="1:7" x14ac:dyDescent="0.25">
      <c r="A132" t="s">
        <v>181</v>
      </c>
      <c r="B132" t="s">
        <v>180</v>
      </c>
      <c r="C132">
        <v>4.5999999999999996</v>
      </c>
      <c r="D132">
        <v>22288</v>
      </c>
      <c r="E132" s="10">
        <v>12</v>
      </c>
      <c r="F132">
        <v>2019</v>
      </c>
      <c r="G132" t="s">
        <v>9</v>
      </c>
    </row>
    <row r="133" spans="1:7" x14ac:dyDescent="0.25">
      <c r="A133" t="s">
        <v>182</v>
      </c>
      <c r="B133" t="s">
        <v>54</v>
      </c>
      <c r="C133">
        <v>4.5999999999999996</v>
      </c>
      <c r="D133">
        <v>1365</v>
      </c>
      <c r="E133" s="10">
        <v>11</v>
      </c>
      <c r="F133">
        <v>2009</v>
      </c>
      <c r="G133" t="s">
        <v>9</v>
      </c>
    </row>
    <row r="134" spans="1:7" x14ac:dyDescent="0.25">
      <c r="A134" t="s">
        <v>183</v>
      </c>
      <c r="B134" t="s">
        <v>184</v>
      </c>
      <c r="C134">
        <v>3.6</v>
      </c>
      <c r="D134">
        <v>14982</v>
      </c>
      <c r="E134" s="10">
        <v>19</v>
      </c>
      <c r="F134">
        <v>2015</v>
      </c>
      <c r="G134" t="s">
        <v>12</v>
      </c>
    </row>
    <row r="135" spans="1:7" x14ac:dyDescent="0.25">
      <c r="A135" t="s">
        <v>185</v>
      </c>
      <c r="B135" t="s">
        <v>186</v>
      </c>
      <c r="C135">
        <v>4.8</v>
      </c>
      <c r="D135">
        <v>9568</v>
      </c>
      <c r="E135" s="10">
        <v>9</v>
      </c>
      <c r="F135">
        <v>2011</v>
      </c>
      <c r="G135" t="s">
        <v>12</v>
      </c>
    </row>
    <row r="136" spans="1:7" x14ac:dyDescent="0.25">
      <c r="A136" t="s">
        <v>187</v>
      </c>
      <c r="B136" t="s">
        <v>188</v>
      </c>
      <c r="C136">
        <v>4.5999999999999996</v>
      </c>
      <c r="D136">
        <v>1636</v>
      </c>
      <c r="E136" s="10">
        <v>6</v>
      </c>
      <c r="F136">
        <v>2009</v>
      </c>
      <c r="G136" t="s">
        <v>9</v>
      </c>
    </row>
    <row r="137" spans="1:7" x14ac:dyDescent="0.25">
      <c r="A137" t="s">
        <v>189</v>
      </c>
      <c r="B137" t="s">
        <v>190</v>
      </c>
      <c r="C137">
        <v>4</v>
      </c>
      <c r="D137">
        <v>57271</v>
      </c>
      <c r="E137" s="10">
        <v>10</v>
      </c>
      <c r="F137">
        <v>2012</v>
      </c>
      <c r="G137" t="s">
        <v>12</v>
      </c>
    </row>
    <row r="138" spans="1:7" x14ac:dyDescent="0.25">
      <c r="A138" t="s">
        <v>189</v>
      </c>
      <c r="B138" t="s">
        <v>190</v>
      </c>
      <c r="C138">
        <v>4</v>
      </c>
      <c r="D138">
        <v>57271</v>
      </c>
      <c r="E138" s="10">
        <v>10</v>
      </c>
      <c r="F138">
        <v>2013</v>
      </c>
      <c r="G138" t="s">
        <v>12</v>
      </c>
    </row>
    <row r="139" spans="1:7" x14ac:dyDescent="0.25">
      <c r="A139" t="s">
        <v>189</v>
      </c>
      <c r="B139" t="s">
        <v>190</v>
      </c>
      <c r="C139">
        <v>4</v>
      </c>
      <c r="D139">
        <v>57271</v>
      </c>
      <c r="E139" s="10">
        <v>9</v>
      </c>
      <c r="F139">
        <v>2014</v>
      </c>
      <c r="G139" t="s">
        <v>12</v>
      </c>
    </row>
    <row r="140" spans="1:7" x14ac:dyDescent="0.25">
      <c r="A140" t="s">
        <v>191</v>
      </c>
      <c r="B140" t="s">
        <v>192</v>
      </c>
      <c r="C140">
        <v>4.5999999999999996</v>
      </c>
      <c r="D140">
        <v>10141</v>
      </c>
      <c r="E140" s="10">
        <v>6</v>
      </c>
      <c r="F140">
        <v>2019</v>
      </c>
      <c r="G140" t="s">
        <v>9</v>
      </c>
    </row>
    <row r="141" spans="1:7" x14ac:dyDescent="0.25">
      <c r="A141" t="s">
        <v>193</v>
      </c>
      <c r="B141" t="s">
        <v>194</v>
      </c>
      <c r="C141">
        <v>4.5</v>
      </c>
      <c r="D141">
        <v>3457</v>
      </c>
      <c r="E141" s="10">
        <v>14</v>
      </c>
      <c r="F141">
        <v>2009</v>
      </c>
      <c r="G141" t="s">
        <v>9</v>
      </c>
    </row>
    <row r="142" spans="1:7" x14ac:dyDescent="0.25">
      <c r="A142" t="s">
        <v>193</v>
      </c>
      <c r="B142" t="s">
        <v>194</v>
      </c>
      <c r="C142">
        <v>4.5</v>
      </c>
      <c r="D142">
        <v>3457</v>
      </c>
      <c r="E142" s="10">
        <v>14</v>
      </c>
      <c r="F142">
        <v>2010</v>
      </c>
      <c r="G142" t="s">
        <v>9</v>
      </c>
    </row>
    <row r="143" spans="1:7" x14ac:dyDescent="0.25">
      <c r="A143" t="s">
        <v>193</v>
      </c>
      <c r="B143" t="s">
        <v>194</v>
      </c>
      <c r="C143">
        <v>4.5</v>
      </c>
      <c r="D143">
        <v>3457</v>
      </c>
      <c r="E143" s="10">
        <v>14</v>
      </c>
      <c r="F143">
        <v>2011</v>
      </c>
      <c r="G143" t="s">
        <v>9</v>
      </c>
    </row>
    <row r="144" spans="1:7" x14ac:dyDescent="0.25">
      <c r="A144" t="s">
        <v>193</v>
      </c>
      <c r="B144" t="s">
        <v>194</v>
      </c>
      <c r="C144">
        <v>4.5</v>
      </c>
      <c r="D144">
        <v>3457</v>
      </c>
      <c r="E144" s="10">
        <v>14</v>
      </c>
      <c r="F144">
        <v>2012</v>
      </c>
      <c r="G144" t="s">
        <v>9</v>
      </c>
    </row>
    <row r="145" spans="1:7" x14ac:dyDescent="0.25">
      <c r="A145" t="s">
        <v>195</v>
      </c>
      <c r="B145" t="s">
        <v>196</v>
      </c>
      <c r="C145">
        <v>4.8</v>
      </c>
      <c r="D145">
        <v>8837</v>
      </c>
      <c r="E145" s="10">
        <v>5</v>
      </c>
      <c r="F145">
        <v>2017</v>
      </c>
      <c r="G145" t="s">
        <v>12</v>
      </c>
    </row>
    <row r="146" spans="1:7" x14ac:dyDescent="0.25">
      <c r="A146" t="s">
        <v>195</v>
      </c>
      <c r="B146" t="s">
        <v>196</v>
      </c>
      <c r="C146">
        <v>4.8</v>
      </c>
      <c r="D146">
        <v>8837</v>
      </c>
      <c r="E146" s="10">
        <v>5</v>
      </c>
      <c r="F146">
        <v>2018</v>
      </c>
      <c r="G146" t="s">
        <v>12</v>
      </c>
    </row>
    <row r="147" spans="1:7" x14ac:dyDescent="0.25">
      <c r="A147" t="s">
        <v>195</v>
      </c>
      <c r="B147" t="s">
        <v>196</v>
      </c>
      <c r="C147">
        <v>4.8</v>
      </c>
      <c r="D147">
        <v>8837</v>
      </c>
      <c r="E147" s="10">
        <v>5</v>
      </c>
      <c r="F147">
        <v>2019</v>
      </c>
      <c r="G147" t="s">
        <v>12</v>
      </c>
    </row>
    <row r="148" spans="1:7" x14ac:dyDescent="0.25">
      <c r="A148" t="s">
        <v>197</v>
      </c>
      <c r="B148" t="s">
        <v>198</v>
      </c>
      <c r="C148">
        <v>4.9000000000000004</v>
      </c>
      <c r="D148">
        <v>7038</v>
      </c>
      <c r="E148" s="10">
        <v>7</v>
      </c>
      <c r="F148">
        <v>2012</v>
      </c>
      <c r="G148" t="s">
        <v>12</v>
      </c>
    </row>
    <row r="149" spans="1:7" x14ac:dyDescent="0.25">
      <c r="A149" t="s">
        <v>197</v>
      </c>
      <c r="B149" t="s">
        <v>198</v>
      </c>
      <c r="C149">
        <v>4.9000000000000004</v>
      </c>
      <c r="D149">
        <v>7038</v>
      </c>
      <c r="E149" s="10">
        <v>7</v>
      </c>
      <c r="F149">
        <v>2013</v>
      </c>
      <c r="G149" t="s">
        <v>12</v>
      </c>
    </row>
    <row r="150" spans="1:7" x14ac:dyDescent="0.25">
      <c r="A150" t="s">
        <v>199</v>
      </c>
      <c r="B150" t="s">
        <v>200</v>
      </c>
      <c r="C150">
        <v>4.5999999999999996</v>
      </c>
      <c r="D150">
        <v>5972</v>
      </c>
      <c r="E150" s="10">
        <v>10</v>
      </c>
      <c r="F150">
        <v>2014</v>
      </c>
      <c r="G150" t="s">
        <v>9</v>
      </c>
    </row>
    <row r="151" spans="1:7" x14ac:dyDescent="0.25">
      <c r="A151" t="s">
        <v>201</v>
      </c>
      <c r="B151" t="s">
        <v>157</v>
      </c>
      <c r="C151">
        <v>4.4000000000000004</v>
      </c>
      <c r="D151">
        <v>25624</v>
      </c>
      <c r="E151" s="10">
        <v>14</v>
      </c>
      <c r="F151">
        <v>2015</v>
      </c>
      <c r="G151" t="s">
        <v>12</v>
      </c>
    </row>
    <row r="152" spans="1:7" x14ac:dyDescent="0.25">
      <c r="A152" t="s">
        <v>202</v>
      </c>
      <c r="B152" t="s">
        <v>203</v>
      </c>
      <c r="C152">
        <v>4.8</v>
      </c>
      <c r="D152">
        <v>5476</v>
      </c>
      <c r="E152" s="10">
        <v>7</v>
      </c>
      <c r="F152">
        <v>2019</v>
      </c>
      <c r="G152" t="s">
        <v>9</v>
      </c>
    </row>
    <row r="153" spans="1:7" x14ac:dyDescent="0.25">
      <c r="A153" t="s">
        <v>204</v>
      </c>
      <c r="B153" t="s">
        <v>205</v>
      </c>
      <c r="C153">
        <v>4.9000000000000004</v>
      </c>
      <c r="D153">
        <v>5867</v>
      </c>
      <c r="E153" s="10">
        <v>54</v>
      </c>
      <c r="F153">
        <v>2016</v>
      </c>
      <c r="G153" t="s">
        <v>9</v>
      </c>
    </row>
    <row r="154" spans="1:7" x14ac:dyDescent="0.25">
      <c r="A154" t="s">
        <v>206</v>
      </c>
      <c r="B154" t="s">
        <v>207</v>
      </c>
      <c r="C154">
        <v>4.8</v>
      </c>
      <c r="D154">
        <v>4148</v>
      </c>
      <c r="E154" s="10">
        <v>11</v>
      </c>
      <c r="F154">
        <v>2013</v>
      </c>
      <c r="G154" t="s">
        <v>9</v>
      </c>
    </row>
    <row r="155" spans="1:7" x14ac:dyDescent="0.25">
      <c r="A155" t="s">
        <v>208</v>
      </c>
      <c r="B155" t="s">
        <v>153</v>
      </c>
      <c r="C155">
        <v>4.9000000000000004</v>
      </c>
      <c r="D155">
        <v>19622</v>
      </c>
      <c r="E155" s="10">
        <v>30</v>
      </c>
      <c r="F155">
        <v>2016</v>
      </c>
      <c r="G155" t="s">
        <v>12</v>
      </c>
    </row>
    <row r="156" spans="1:7" x14ac:dyDescent="0.25">
      <c r="A156" t="s">
        <v>209</v>
      </c>
      <c r="B156" t="s">
        <v>153</v>
      </c>
      <c r="C156">
        <v>4</v>
      </c>
      <c r="D156">
        <v>23973</v>
      </c>
      <c r="E156" s="10">
        <v>12</v>
      </c>
      <c r="F156">
        <v>2016</v>
      </c>
      <c r="G156" t="s">
        <v>12</v>
      </c>
    </row>
    <row r="157" spans="1:7" x14ac:dyDescent="0.25">
      <c r="A157" t="s">
        <v>210</v>
      </c>
      <c r="B157" t="s">
        <v>211</v>
      </c>
      <c r="C157">
        <v>4.9000000000000004</v>
      </c>
      <c r="D157">
        <v>7758</v>
      </c>
      <c r="E157" s="10">
        <v>18</v>
      </c>
      <c r="F157">
        <v>2019</v>
      </c>
      <c r="G157" t="s">
        <v>12</v>
      </c>
    </row>
    <row r="158" spans="1:7" x14ac:dyDescent="0.25">
      <c r="A158" t="s">
        <v>212</v>
      </c>
      <c r="B158" t="s">
        <v>153</v>
      </c>
      <c r="C158">
        <v>4.9000000000000004</v>
      </c>
      <c r="D158">
        <v>3146</v>
      </c>
      <c r="E158" s="10">
        <v>30</v>
      </c>
      <c r="F158">
        <v>2017</v>
      </c>
      <c r="G158" t="s">
        <v>12</v>
      </c>
    </row>
    <row r="159" spans="1:7" x14ac:dyDescent="0.25">
      <c r="A159" t="s">
        <v>213</v>
      </c>
      <c r="B159" t="s">
        <v>153</v>
      </c>
      <c r="C159">
        <v>4.9000000000000004</v>
      </c>
      <c r="D159">
        <v>10052</v>
      </c>
      <c r="E159" s="10">
        <v>22</v>
      </c>
      <c r="F159">
        <v>2016</v>
      </c>
      <c r="G159" t="s">
        <v>12</v>
      </c>
    </row>
    <row r="160" spans="1:7" x14ac:dyDescent="0.25">
      <c r="A160" t="s">
        <v>214</v>
      </c>
      <c r="B160" t="s">
        <v>215</v>
      </c>
      <c r="C160">
        <v>4.7</v>
      </c>
      <c r="D160">
        <v>3564</v>
      </c>
      <c r="E160" s="10">
        <v>9</v>
      </c>
      <c r="F160">
        <v>2015</v>
      </c>
      <c r="G160" t="s">
        <v>9</v>
      </c>
    </row>
    <row r="161" spans="1:7" x14ac:dyDescent="0.25">
      <c r="A161" t="s">
        <v>216</v>
      </c>
      <c r="B161" t="s">
        <v>211</v>
      </c>
      <c r="C161">
        <v>4.8</v>
      </c>
      <c r="D161">
        <v>13471</v>
      </c>
      <c r="E161" s="10">
        <v>52</v>
      </c>
      <c r="F161">
        <v>2016</v>
      </c>
      <c r="G161" t="s">
        <v>12</v>
      </c>
    </row>
    <row r="162" spans="1:7" x14ac:dyDescent="0.25">
      <c r="A162" t="s">
        <v>217</v>
      </c>
      <c r="B162" t="s">
        <v>218</v>
      </c>
      <c r="C162">
        <v>4.8</v>
      </c>
      <c r="D162">
        <v>1930</v>
      </c>
      <c r="E162" s="10">
        <v>4</v>
      </c>
      <c r="F162">
        <v>2009</v>
      </c>
      <c r="G162" t="s">
        <v>9</v>
      </c>
    </row>
    <row r="163" spans="1:7" x14ac:dyDescent="0.25">
      <c r="A163" t="s">
        <v>219</v>
      </c>
      <c r="B163" t="s">
        <v>220</v>
      </c>
      <c r="C163">
        <v>4.7</v>
      </c>
      <c r="D163">
        <v>15779</v>
      </c>
      <c r="E163" s="10">
        <v>10</v>
      </c>
      <c r="F163">
        <v>2011</v>
      </c>
      <c r="G163" t="s">
        <v>9</v>
      </c>
    </row>
    <row r="164" spans="1:7" x14ac:dyDescent="0.25">
      <c r="A164" t="s">
        <v>219</v>
      </c>
      <c r="B164" t="s">
        <v>220</v>
      </c>
      <c r="C164">
        <v>4.7</v>
      </c>
      <c r="D164">
        <v>15779</v>
      </c>
      <c r="E164" s="10">
        <v>10</v>
      </c>
      <c r="F164">
        <v>2012</v>
      </c>
      <c r="G164" t="s">
        <v>9</v>
      </c>
    </row>
    <row r="165" spans="1:7" x14ac:dyDescent="0.25">
      <c r="A165" t="s">
        <v>221</v>
      </c>
      <c r="B165" t="s">
        <v>222</v>
      </c>
      <c r="C165">
        <v>4.4000000000000004</v>
      </c>
      <c r="D165">
        <v>15526</v>
      </c>
      <c r="E165" s="10">
        <v>14</v>
      </c>
      <c r="F165">
        <v>2016</v>
      </c>
      <c r="G165" t="s">
        <v>9</v>
      </c>
    </row>
    <row r="166" spans="1:7" x14ac:dyDescent="0.25">
      <c r="A166" t="s">
        <v>221</v>
      </c>
      <c r="B166" t="s">
        <v>222</v>
      </c>
      <c r="C166">
        <v>4.4000000000000004</v>
      </c>
      <c r="D166">
        <v>15526</v>
      </c>
      <c r="E166" s="10">
        <v>14</v>
      </c>
      <c r="F166">
        <v>2017</v>
      </c>
      <c r="G166" t="s">
        <v>9</v>
      </c>
    </row>
    <row r="167" spans="1:7" x14ac:dyDescent="0.25">
      <c r="A167" t="s">
        <v>223</v>
      </c>
      <c r="B167" t="s">
        <v>224</v>
      </c>
      <c r="C167">
        <v>4.8</v>
      </c>
      <c r="D167">
        <v>3776</v>
      </c>
      <c r="E167" s="10">
        <v>22</v>
      </c>
      <c r="F167">
        <v>2018</v>
      </c>
      <c r="G167" t="s">
        <v>9</v>
      </c>
    </row>
    <row r="168" spans="1:7" x14ac:dyDescent="0.25">
      <c r="A168" t="s">
        <v>225</v>
      </c>
      <c r="B168" t="s">
        <v>226</v>
      </c>
      <c r="C168">
        <v>4.7</v>
      </c>
      <c r="D168">
        <v>25001</v>
      </c>
      <c r="E168" s="10">
        <v>11</v>
      </c>
      <c r="F168">
        <v>2014</v>
      </c>
      <c r="G168" t="s">
        <v>9</v>
      </c>
    </row>
    <row r="169" spans="1:7" x14ac:dyDescent="0.25">
      <c r="A169" t="s">
        <v>225</v>
      </c>
      <c r="B169" t="s">
        <v>226</v>
      </c>
      <c r="C169">
        <v>4.7</v>
      </c>
      <c r="D169">
        <v>25001</v>
      </c>
      <c r="E169" s="10">
        <v>11</v>
      </c>
      <c r="F169">
        <v>2015</v>
      </c>
      <c r="G169" t="s">
        <v>9</v>
      </c>
    </row>
    <row r="170" spans="1:7" x14ac:dyDescent="0.25">
      <c r="A170" t="s">
        <v>225</v>
      </c>
      <c r="B170" t="s">
        <v>226</v>
      </c>
      <c r="C170">
        <v>4.7</v>
      </c>
      <c r="D170">
        <v>25001</v>
      </c>
      <c r="E170" s="10">
        <v>11</v>
      </c>
      <c r="F170">
        <v>2016</v>
      </c>
      <c r="G170" t="s">
        <v>9</v>
      </c>
    </row>
    <row r="171" spans="1:7" x14ac:dyDescent="0.25">
      <c r="A171" t="s">
        <v>225</v>
      </c>
      <c r="B171" t="s">
        <v>226</v>
      </c>
      <c r="C171">
        <v>4.7</v>
      </c>
      <c r="D171">
        <v>25001</v>
      </c>
      <c r="E171" s="10">
        <v>11</v>
      </c>
      <c r="F171">
        <v>2017</v>
      </c>
      <c r="G171" t="s">
        <v>9</v>
      </c>
    </row>
    <row r="172" spans="1:7" x14ac:dyDescent="0.25">
      <c r="A172" t="s">
        <v>225</v>
      </c>
      <c r="B172" t="s">
        <v>226</v>
      </c>
      <c r="C172">
        <v>4.7</v>
      </c>
      <c r="D172">
        <v>25001</v>
      </c>
      <c r="E172" s="10">
        <v>11</v>
      </c>
      <c r="F172">
        <v>2018</v>
      </c>
      <c r="G172" t="s">
        <v>9</v>
      </c>
    </row>
    <row r="173" spans="1:7" x14ac:dyDescent="0.25">
      <c r="A173" t="s">
        <v>227</v>
      </c>
      <c r="B173" t="s">
        <v>228</v>
      </c>
      <c r="C173">
        <v>4.3</v>
      </c>
      <c r="D173">
        <v>5272</v>
      </c>
      <c r="E173" s="10">
        <v>16</v>
      </c>
      <c r="F173">
        <v>2019</v>
      </c>
      <c r="G173" t="s">
        <v>9</v>
      </c>
    </row>
    <row r="174" spans="1:7" x14ac:dyDescent="0.25">
      <c r="A174" t="s">
        <v>229</v>
      </c>
      <c r="B174" t="s">
        <v>230</v>
      </c>
      <c r="C174">
        <v>4.8</v>
      </c>
      <c r="D174">
        <v>3490</v>
      </c>
      <c r="E174" s="10">
        <v>15</v>
      </c>
      <c r="F174">
        <v>2013</v>
      </c>
      <c r="G174" t="s">
        <v>9</v>
      </c>
    </row>
    <row r="175" spans="1:7" x14ac:dyDescent="0.25">
      <c r="A175" t="s">
        <v>229</v>
      </c>
      <c r="B175" t="s">
        <v>230</v>
      </c>
      <c r="C175">
        <v>4.8</v>
      </c>
      <c r="D175">
        <v>3490</v>
      </c>
      <c r="E175" s="10">
        <v>15</v>
      </c>
      <c r="F175">
        <v>2014</v>
      </c>
      <c r="G175" t="s">
        <v>9</v>
      </c>
    </row>
    <row r="176" spans="1:7" x14ac:dyDescent="0.25">
      <c r="A176" t="s">
        <v>231</v>
      </c>
      <c r="B176" t="s">
        <v>230</v>
      </c>
      <c r="C176">
        <v>4.9000000000000004</v>
      </c>
      <c r="D176">
        <v>2812</v>
      </c>
      <c r="E176" s="10">
        <v>17</v>
      </c>
      <c r="F176">
        <v>2015</v>
      </c>
      <c r="G176" t="s">
        <v>9</v>
      </c>
    </row>
    <row r="177" spans="1:7" x14ac:dyDescent="0.25">
      <c r="A177" t="s">
        <v>232</v>
      </c>
      <c r="B177" t="s">
        <v>233</v>
      </c>
      <c r="C177">
        <v>4.7</v>
      </c>
      <c r="D177">
        <v>4896</v>
      </c>
      <c r="E177" s="10">
        <v>17</v>
      </c>
      <c r="F177">
        <v>2013</v>
      </c>
      <c r="G177" t="s">
        <v>9</v>
      </c>
    </row>
    <row r="178" spans="1:7" x14ac:dyDescent="0.25">
      <c r="A178" t="s">
        <v>234</v>
      </c>
      <c r="B178" t="s">
        <v>235</v>
      </c>
      <c r="C178">
        <v>4.8</v>
      </c>
      <c r="D178">
        <v>9737</v>
      </c>
      <c r="E178" s="10">
        <v>7</v>
      </c>
      <c r="F178">
        <v>2019</v>
      </c>
      <c r="G178" t="s">
        <v>9</v>
      </c>
    </row>
    <row r="179" spans="1:7" x14ac:dyDescent="0.25">
      <c r="A179" t="s">
        <v>236</v>
      </c>
      <c r="B179" t="s">
        <v>237</v>
      </c>
      <c r="C179">
        <v>4.5999999999999996</v>
      </c>
      <c r="D179">
        <v>1320</v>
      </c>
      <c r="E179" s="10">
        <v>7</v>
      </c>
      <c r="F179">
        <v>2009</v>
      </c>
      <c r="G179" t="s">
        <v>12</v>
      </c>
    </row>
    <row r="180" spans="1:7" x14ac:dyDescent="0.25">
      <c r="A180" t="s">
        <v>238</v>
      </c>
      <c r="B180" t="s">
        <v>239</v>
      </c>
      <c r="C180">
        <v>4.8</v>
      </c>
      <c r="D180">
        <v>16643</v>
      </c>
      <c r="E180" s="10">
        <v>4</v>
      </c>
      <c r="F180">
        <v>2017</v>
      </c>
      <c r="G180" t="s">
        <v>12</v>
      </c>
    </row>
    <row r="181" spans="1:7" x14ac:dyDescent="0.25">
      <c r="A181" t="s">
        <v>238</v>
      </c>
      <c r="B181" t="s">
        <v>239</v>
      </c>
      <c r="C181">
        <v>4.8</v>
      </c>
      <c r="D181">
        <v>16643</v>
      </c>
      <c r="E181" s="10">
        <v>4</v>
      </c>
      <c r="F181">
        <v>2019</v>
      </c>
      <c r="G181" t="s">
        <v>12</v>
      </c>
    </row>
    <row r="182" spans="1:7" x14ac:dyDescent="0.25">
      <c r="A182" t="s">
        <v>240</v>
      </c>
      <c r="B182" t="s">
        <v>241</v>
      </c>
      <c r="C182">
        <v>4.3</v>
      </c>
      <c r="D182">
        <v>7153</v>
      </c>
      <c r="E182" s="10">
        <v>9</v>
      </c>
      <c r="F182">
        <v>2014</v>
      </c>
      <c r="G182" t="s">
        <v>12</v>
      </c>
    </row>
    <row r="183" spans="1:7" x14ac:dyDescent="0.25">
      <c r="A183" t="s">
        <v>242</v>
      </c>
      <c r="B183" t="s">
        <v>243</v>
      </c>
      <c r="C183">
        <v>4.4000000000000004</v>
      </c>
      <c r="D183">
        <v>4571</v>
      </c>
      <c r="E183" s="10">
        <v>21</v>
      </c>
      <c r="F183">
        <v>2011</v>
      </c>
      <c r="G183" t="s">
        <v>9</v>
      </c>
    </row>
    <row r="184" spans="1:7" x14ac:dyDescent="0.25">
      <c r="A184" t="s">
        <v>244</v>
      </c>
      <c r="B184" t="s">
        <v>245</v>
      </c>
      <c r="C184">
        <v>4.0999999999999996</v>
      </c>
      <c r="D184">
        <v>29651</v>
      </c>
      <c r="E184" s="10">
        <v>14</v>
      </c>
      <c r="F184">
        <v>2013</v>
      </c>
      <c r="G184" t="s">
        <v>12</v>
      </c>
    </row>
    <row r="185" spans="1:7" x14ac:dyDescent="0.25">
      <c r="A185" t="s">
        <v>246</v>
      </c>
      <c r="B185" t="s">
        <v>247</v>
      </c>
      <c r="C185">
        <v>4.5999999999999996</v>
      </c>
      <c r="D185">
        <v>5299</v>
      </c>
      <c r="E185" s="10">
        <v>20</v>
      </c>
      <c r="F185">
        <v>2011</v>
      </c>
      <c r="G185" t="s">
        <v>12</v>
      </c>
    </row>
    <row r="186" spans="1:7" x14ac:dyDescent="0.25">
      <c r="A186" t="s">
        <v>248</v>
      </c>
      <c r="B186" t="s">
        <v>249</v>
      </c>
      <c r="C186">
        <v>4.4000000000000004</v>
      </c>
      <c r="D186">
        <v>7396</v>
      </c>
      <c r="E186" s="10">
        <v>13</v>
      </c>
      <c r="F186">
        <v>2019</v>
      </c>
      <c r="G186" t="s">
        <v>9</v>
      </c>
    </row>
    <row r="187" spans="1:7" x14ac:dyDescent="0.25">
      <c r="A187" t="s">
        <v>248</v>
      </c>
      <c r="B187" t="s">
        <v>249</v>
      </c>
      <c r="C187">
        <v>4.4000000000000004</v>
      </c>
      <c r="D187">
        <v>7396</v>
      </c>
      <c r="E187" s="10">
        <v>13</v>
      </c>
      <c r="F187">
        <v>2018</v>
      </c>
      <c r="G187" t="s">
        <v>9</v>
      </c>
    </row>
    <row r="188" spans="1:7" x14ac:dyDescent="0.25">
      <c r="A188" t="s">
        <v>250</v>
      </c>
      <c r="B188" t="s">
        <v>251</v>
      </c>
      <c r="C188">
        <v>4.8</v>
      </c>
      <c r="D188">
        <v>7062</v>
      </c>
      <c r="E188" s="10">
        <v>12</v>
      </c>
      <c r="F188">
        <v>2019</v>
      </c>
      <c r="G188" t="s">
        <v>9</v>
      </c>
    </row>
    <row r="189" spans="1:7" x14ac:dyDescent="0.25">
      <c r="A189" t="s">
        <v>252</v>
      </c>
      <c r="B189" t="s">
        <v>253</v>
      </c>
      <c r="C189">
        <v>4.9000000000000004</v>
      </c>
      <c r="D189">
        <v>19576</v>
      </c>
      <c r="E189" s="10">
        <v>8</v>
      </c>
      <c r="F189">
        <v>2011</v>
      </c>
      <c r="G189" t="s">
        <v>9</v>
      </c>
    </row>
    <row r="190" spans="1:7" x14ac:dyDescent="0.25">
      <c r="A190" t="s">
        <v>252</v>
      </c>
      <c r="B190" t="s">
        <v>253</v>
      </c>
      <c r="C190">
        <v>4.9000000000000004</v>
      </c>
      <c r="D190">
        <v>19576</v>
      </c>
      <c r="E190" s="10">
        <v>8</v>
      </c>
      <c r="F190">
        <v>2012</v>
      </c>
      <c r="G190" t="s">
        <v>9</v>
      </c>
    </row>
    <row r="191" spans="1:7" x14ac:dyDescent="0.25">
      <c r="A191" t="s">
        <v>252</v>
      </c>
      <c r="B191" t="s">
        <v>253</v>
      </c>
      <c r="C191">
        <v>4.9000000000000004</v>
      </c>
      <c r="D191">
        <v>19576</v>
      </c>
      <c r="E191" s="10">
        <v>8</v>
      </c>
      <c r="F191">
        <v>2013</v>
      </c>
      <c r="G191" t="s">
        <v>9</v>
      </c>
    </row>
    <row r="192" spans="1:7" x14ac:dyDescent="0.25">
      <c r="A192" t="s">
        <v>252</v>
      </c>
      <c r="B192" t="s">
        <v>253</v>
      </c>
      <c r="C192">
        <v>4.9000000000000004</v>
      </c>
      <c r="D192">
        <v>19576</v>
      </c>
      <c r="E192" s="10">
        <v>8</v>
      </c>
      <c r="F192">
        <v>2014</v>
      </c>
      <c r="G192" t="s">
        <v>9</v>
      </c>
    </row>
    <row r="193" spans="1:7" x14ac:dyDescent="0.25">
      <c r="A193" t="s">
        <v>252</v>
      </c>
      <c r="B193" t="s">
        <v>253</v>
      </c>
      <c r="C193">
        <v>4.9000000000000004</v>
      </c>
      <c r="D193">
        <v>19576</v>
      </c>
      <c r="E193" s="10">
        <v>8</v>
      </c>
      <c r="F193">
        <v>2015</v>
      </c>
      <c r="G193" t="s">
        <v>9</v>
      </c>
    </row>
    <row r="194" spans="1:7" x14ac:dyDescent="0.25">
      <c r="A194" t="s">
        <v>252</v>
      </c>
      <c r="B194" t="s">
        <v>253</v>
      </c>
      <c r="C194">
        <v>4.9000000000000004</v>
      </c>
      <c r="D194">
        <v>19576</v>
      </c>
      <c r="E194" s="10">
        <v>8</v>
      </c>
      <c r="F194">
        <v>2016</v>
      </c>
      <c r="G194" t="s">
        <v>9</v>
      </c>
    </row>
    <row r="195" spans="1:7" x14ac:dyDescent="0.25">
      <c r="A195" t="s">
        <v>254</v>
      </c>
      <c r="B195" t="s">
        <v>168</v>
      </c>
      <c r="C195">
        <v>4.5999999999999996</v>
      </c>
      <c r="D195">
        <v>978</v>
      </c>
      <c r="E195" s="10">
        <v>0</v>
      </c>
      <c r="F195">
        <v>2014</v>
      </c>
      <c r="G195" t="s">
        <v>12</v>
      </c>
    </row>
    <row r="196" spans="1:7" x14ac:dyDescent="0.25">
      <c r="A196" t="s">
        <v>255</v>
      </c>
      <c r="B196" t="s">
        <v>11</v>
      </c>
      <c r="C196">
        <v>4.5</v>
      </c>
      <c r="D196">
        <v>4748</v>
      </c>
      <c r="E196" s="10">
        <v>12</v>
      </c>
      <c r="F196">
        <v>2013</v>
      </c>
      <c r="G196" t="s">
        <v>12</v>
      </c>
    </row>
    <row r="197" spans="1:7" x14ac:dyDescent="0.25">
      <c r="A197" t="s">
        <v>256</v>
      </c>
      <c r="B197" t="s">
        <v>257</v>
      </c>
      <c r="C197">
        <v>4.5999999999999996</v>
      </c>
      <c r="D197">
        <v>8393</v>
      </c>
      <c r="E197" s="10">
        <v>17</v>
      </c>
      <c r="F197">
        <v>2017</v>
      </c>
      <c r="G197" t="s">
        <v>9</v>
      </c>
    </row>
    <row r="198" spans="1:7" x14ac:dyDescent="0.25">
      <c r="A198" t="s">
        <v>258</v>
      </c>
      <c r="B198" t="s">
        <v>259</v>
      </c>
      <c r="C198">
        <v>4.5</v>
      </c>
      <c r="D198">
        <v>11391</v>
      </c>
      <c r="E198" s="10">
        <v>12</v>
      </c>
      <c r="F198">
        <v>2013</v>
      </c>
      <c r="G198" t="s">
        <v>9</v>
      </c>
    </row>
    <row r="199" spans="1:7" x14ac:dyDescent="0.25">
      <c r="A199" t="s">
        <v>260</v>
      </c>
      <c r="B199" t="s">
        <v>259</v>
      </c>
      <c r="C199">
        <v>4.5999999999999996</v>
      </c>
      <c r="D199">
        <v>8634</v>
      </c>
      <c r="E199" s="10">
        <v>25</v>
      </c>
      <c r="F199">
        <v>2012</v>
      </c>
      <c r="G199" t="s">
        <v>9</v>
      </c>
    </row>
    <row r="200" spans="1:7" x14ac:dyDescent="0.25">
      <c r="A200" t="s">
        <v>261</v>
      </c>
      <c r="B200" t="s">
        <v>259</v>
      </c>
      <c r="C200">
        <v>4.7</v>
      </c>
      <c r="D200">
        <v>9342</v>
      </c>
      <c r="E200" s="10">
        <v>10</v>
      </c>
      <c r="F200">
        <v>2011</v>
      </c>
      <c r="G200" t="s">
        <v>9</v>
      </c>
    </row>
    <row r="201" spans="1:7" x14ac:dyDescent="0.25">
      <c r="A201" t="s">
        <v>261</v>
      </c>
      <c r="B201" t="s">
        <v>259</v>
      </c>
      <c r="C201">
        <v>4.7</v>
      </c>
      <c r="D201">
        <v>9342</v>
      </c>
      <c r="E201" s="10">
        <v>10</v>
      </c>
      <c r="F201">
        <v>2012</v>
      </c>
      <c r="G201" t="s">
        <v>9</v>
      </c>
    </row>
    <row r="202" spans="1:7" x14ac:dyDescent="0.25">
      <c r="A202" t="s">
        <v>262</v>
      </c>
      <c r="B202" t="s">
        <v>259</v>
      </c>
      <c r="C202">
        <v>4.5999999999999996</v>
      </c>
      <c r="D202">
        <v>10927</v>
      </c>
      <c r="E202" s="10">
        <v>6</v>
      </c>
      <c r="F202">
        <v>2014</v>
      </c>
      <c r="G202" t="s">
        <v>9</v>
      </c>
    </row>
    <row r="203" spans="1:7" x14ac:dyDescent="0.25">
      <c r="A203" t="s">
        <v>263</v>
      </c>
      <c r="B203" t="s">
        <v>259</v>
      </c>
      <c r="C203">
        <v>4.5999999999999996</v>
      </c>
      <c r="D203">
        <v>5235</v>
      </c>
      <c r="E203" s="10">
        <v>5</v>
      </c>
      <c r="F203">
        <v>2015</v>
      </c>
      <c r="G203" t="s">
        <v>9</v>
      </c>
    </row>
    <row r="204" spans="1:7" x14ac:dyDescent="0.25">
      <c r="A204" t="s">
        <v>264</v>
      </c>
      <c r="B204" t="s">
        <v>259</v>
      </c>
      <c r="C204">
        <v>4.8</v>
      </c>
      <c r="D204">
        <v>8916</v>
      </c>
      <c r="E204" s="10">
        <v>6</v>
      </c>
      <c r="F204">
        <v>2016</v>
      </c>
      <c r="G204" t="s">
        <v>9</v>
      </c>
    </row>
    <row r="205" spans="1:7" x14ac:dyDescent="0.25">
      <c r="A205" t="s">
        <v>265</v>
      </c>
      <c r="B205" t="s">
        <v>266</v>
      </c>
      <c r="C205">
        <v>4.8</v>
      </c>
      <c r="D205">
        <v>2507</v>
      </c>
      <c r="E205" s="10">
        <v>8</v>
      </c>
      <c r="F205">
        <v>2018</v>
      </c>
      <c r="G205" t="s">
        <v>9</v>
      </c>
    </row>
    <row r="206" spans="1:7" x14ac:dyDescent="0.25">
      <c r="A206" t="s">
        <v>267</v>
      </c>
      <c r="B206" t="s">
        <v>268</v>
      </c>
      <c r="C206">
        <v>4.5</v>
      </c>
      <c r="D206">
        <v>3673</v>
      </c>
      <c r="E206" s="10">
        <v>4</v>
      </c>
      <c r="F206">
        <v>2013</v>
      </c>
      <c r="G206" t="s">
        <v>9</v>
      </c>
    </row>
    <row r="207" spans="1:7" x14ac:dyDescent="0.25">
      <c r="A207" t="s">
        <v>267</v>
      </c>
      <c r="B207" t="s">
        <v>268</v>
      </c>
      <c r="C207">
        <v>4.5</v>
      </c>
      <c r="D207">
        <v>3673</v>
      </c>
      <c r="E207" s="10">
        <v>4</v>
      </c>
      <c r="F207">
        <v>2014</v>
      </c>
      <c r="G207" t="s">
        <v>9</v>
      </c>
    </row>
    <row r="208" spans="1:7" x14ac:dyDescent="0.25">
      <c r="A208" t="s">
        <v>267</v>
      </c>
      <c r="B208" t="s">
        <v>268</v>
      </c>
      <c r="C208">
        <v>4.5</v>
      </c>
      <c r="D208">
        <v>3673</v>
      </c>
      <c r="E208" s="10">
        <v>4</v>
      </c>
      <c r="F208">
        <v>2015</v>
      </c>
      <c r="G208" t="s">
        <v>9</v>
      </c>
    </row>
    <row r="209" spans="1:7" x14ac:dyDescent="0.25">
      <c r="A209" t="s">
        <v>269</v>
      </c>
      <c r="B209" t="s">
        <v>270</v>
      </c>
      <c r="C209">
        <v>4.9000000000000004</v>
      </c>
      <c r="D209">
        <v>11881</v>
      </c>
      <c r="E209" s="10">
        <v>13</v>
      </c>
      <c r="F209">
        <v>2018</v>
      </c>
      <c r="G209" t="s">
        <v>12</v>
      </c>
    </row>
    <row r="210" spans="1:7" x14ac:dyDescent="0.25">
      <c r="A210" t="s">
        <v>271</v>
      </c>
      <c r="B210" t="s">
        <v>268</v>
      </c>
      <c r="C210">
        <v>4.5999999999999996</v>
      </c>
      <c r="D210">
        <v>6990</v>
      </c>
      <c r="E210" s="10">
        <v>4</v>
      </c>
      <c r="F210">
        <v>2013</v>
      </c>
      <c r="G210" t="s">
        <v>9</v>
      </c>
    </row>
    <row r="211" spans="1:7" x14ac:dyDescent="0.25">
      <c r="A211" t="s">
        <v>271</v>
      </c>
      <c r="B211" t="s">
        <v>268</v>
      </c>
      <c r="C211">
        <v>4.5999999999999996</v>
      </c>
      <c r="D211">
        <v>6990</v>
      </c>
      <c r="E211" s="10">
        <v>4</v>
      </c>
      <c r="F211">
        <v>2014</v>
      </c>
      <c r="G211" t="s">
        <v>9</v>
      </c>
    </row>
    <row r="212" spans="1:7" x14ac:dyDescent="0.25">
      <c r="A212" t="s">
        <v>271</v>
      </c>
      <c r="B212" t="s">
        <v>268</v>
      </c>
      <c r="C212">
        <v>4.5999999999999996</v>
      </c>
      <c r="D212">
        <v>6990</v>
      </c>
      <c r="E212" s="10">
        <v>4</v>
      </c>
      <c r="F212">
        <v>2015</v>
      </c>
      <c r="G212" t="s">
        <v>9</v>
      </c>
    </row>
    <row r="213" spans="1:7" x14ac:dyDescent="0.25">
      <c r="A213" t="s">
        <v>271</v>
      </c>
      <c r="B213" t="s">
        <v>268</v>
      </c>
      <c r="C213">
        <v>4.5999999999999996</v>
      </c>
      <c r="D213">
        <v>6990</v>
      </c>
      <c r="E213" s="10">
        <v>4</v>
      </c>
      <c r="F213">
        <v>2016</v>
      </c>
      <c r="G213" t="s">
        <v>9</v>
      </c>
    </row>
    <row r="214" spans="1:7" x14ac:dyDescent="0.25">
      <c r="A214" t="s">
        <v>271</v>
      </c>
      <c r="B214" t="s">
        <v>268</v>
      </c>
      <c r="C214">
        <v>4.5999999999999996</v>
      </c>
      <c r="D214">
        <v>6990</v>
      </c>
      <c r="E214" s="10">
        <v>4</v>
      </c>
      <c r="F214">
        <v>2017</v>
      </c>
      <c r="G214" t="s">
        <v>9</v>
      </c>
    </row>
    <row r="215" spans="1:7" x14ac:dyDescent="0.25">
      <c r="A215" t="s">
        <v>272</v>
      </c>
      <c r="B215" t="s">
        <v>273</v>
      </c>
      <c r="C215">
        <v>4.5</v>
      </c>
      <c r="D215">
        <v>6132</v>
      </c>
      <c r="E215" s="10">
        <v>13</v>
      </c>
      <c r="F215">
        <v>2013</v>
      </c>
      <c r="G215" t="s">
        <v>9</v>
      </c>
    </row>
    <row r="216" spans="1:7" x14ac:dyDescent="0.25">
      <c r="A216" t="s">
        <v>274</v>
      </c>
      <c r="B216" t="s">
        <v>275</v>
      </c>
      <c r="C216">
        <v>4.5</v>
      </c>
      <c r="D216">
        <v>3014</v>
      </c>
      <c r="E216" s="10">
        <v>21</v>
      </c>
      <c r="F216">
        <v>2017</v>
      </c>
      <c r="G216" t="s">
        <v>9</v>
      </c>
    </row>
    <row r="217" spans="1:7" x14ac:dyDescent="0.25">
      <c r="A217" t="s">
        <v>276</v>
      </c>
      <c r="B217" t="s">
        <v>277</v>
      </c>
      <c r="C217">
        <v>4.4000000000000004</v>
      </c>
      <c r="D217">
        <v>7550</v>
      </c>
      <c r="E217" s="10">
        <v>6</v>
      </c>
      <c r="F217">
        <v>2018</v>
      </c>
      <c r="G217" t="s">
        <v>9</v>
      </c>
    </row>
    <row r="218" spans="1:7" x14ac:dyDescent="0.25">
      <c r="A218" t="s">
        <v>278</v>
      </c>
      <c r="B218" t="s">
        <v>279</v>
      </c>
      <c r="C218">
        <v>4.8</v>
      </c>
      <c r="D218">
        <v>3828</v>
      </c>
      <c r="E218" s="10">
        <v>15</v>
      </c>
      <c r="F218">
        <v>2009</v>
      </c>
      <c r="G218" t="s">
        <v>9</v>
      </c>
    </row>
    <row r="219" spans="1:7" x14ac:dyDescent="0.25">
      <c r="A219" t="s">
        <v>280</v>
      </c>
      <c r="B219" t="s">
        <v>281</v>
      </c>
      <c r="C219">
        <v>4.5</v>
      </c>
      <c r="D219">
        <v>2752</v>
      </c>
      <c r="E219" s="10">
        <v>18</v>
      </c>
      <c r="F219">
        <v>2010</v>
      </c>
      <c r="G219" t="s">
        <v>9</v>
      </c>
    </row>
    <row r="220" spans="1:7" x14ac:dyDescent="0.25">
      <c r="A220" t="s">
        <v>282</v>
      </c>
      <c r="B220" t="s">
        <v>283</v>
      </c>
      <c r="C220">
        <v>4.0999999999999996</v>
      </c>
      <c r="D220">
        <v>1467</v>
      </c>
      <c r="E220" s="10">
        <v>10</v>
      </c>
      <c r="F220">
        <v>2010</v>
      </c>
      <c r="G220" t="s">
        <v>12</v>
      </c>
    </row>
    <row r="221" spans="1:7" x14ac:dyDescent="0.25">
      <c r="A221" t="s">
        <v>284</v>
      </c>
      <c r="B221" t="s">
        <v>285</v>
      </c>
      <c r="C221">
        <v>4.9000000000000004</v>
      </c>
      <c r="D221">
        <v>1884</v>
      </c>
      <c r="E221" s="10">
        <v>0</v>
      </c>
      <c r="F221">
        <v>2014</v>
      </c>
      <c r="G221" t="s">
        <v>12</v>
      </c>
    </row>
    <row r="222" spans="1:7" x14ac:dyDescent="0.25">
      <c r="A222" t="s">
        <v>286</v>
      </c>
      <c r="B222" t="s">
        <v>287</v>
      </c>
      <c r="C222">
        <v>4.5</v>
      </c>
      <c r="D222">
        <v>25706</v>
      </c>
      <c r="E222" s="10">
        <v>12</v>
      </c>
      <c r="F222">
        <v>2018</v>
      </c>
      <c r="G222" t="s">
        <v>12</v>
      </c>
    </row>
    <row r="223" spans="1:7" x14ac:dyDescent="0.25">
      <c r="A223" t="s">
        <v>288</v>
      </c>
      <c r="B223" t="s">
        <v>289</v>
      </c>
      <c r="C223">
        <v>4.5</v>
      </c>
      <c r="D223">
        <v>8491</v>
      </c>
      <c r="E223" s="10">
        <v>7</v>
      </c>
      <c r="F223">
        <v>2014</v>
      </c>
      <c r="G223" t="s">
        <v>12</v>
      </c>
    </row>
    <row r="224" spans="1:7" x14ac:dyDescent="0.25">
      <c r="A224" t="s">
        <v>290</v>
      </c>
      <c r="B224" t="s">
        <v>291</v>
      </c>
      <c r="C224">
        <v>4.2</v>
      </c>
      <c r="D224">
        <v>1649</v>
      </c>
      <c r="E224" s="10">
        <v>13</v>
      </c>
      <c r="F224">
        <v>2011</v>
      </c>
      <c r="G224" t="s">
        <v>9</v>
      </c>
    </row>
    <row r="225" spans="1:7" x14ac:dyDescent="0.25">
      <c r="A225" t="s">
        <v>292</v>
      </c>
      <c r="B225" t="s">
        <v>293</v>
      </c>
      <c r="C225">
        <v>4.8</v>
      </c>
      <c r="D225">
        <v>18613</v>
      </c>
      <c r="E225" s="10">
        <v>5</v>
      </c>
      <c r="F225">
        <v>2014</v>
      </c>
      <c r="G225" t="s">
        <v>12</v>
      </c>
    </row>
    <row r="226" spans="1:7" x14ac:dyDescent="0.25">
      <c r="A226" t="s">
        <v>292</v>
      </c>
      <c r="B226" t="s">
        <v>293</v>
      </c>
      <c r="C226">
        <v>4.8</v>
      </c>
      <c r="D226">
        <v>18613</v>
      </c>
      <c r="E226" s="10">
        <v>5</v>
      </c>
      <c r="F226">
        <v>2015</v>
      </c>
      <c r="G226" t="s">
        <v>12</v>
      </c>
    </row>
    <row r="227" spans="1:7" x14ac:dyDescent="0.25">
      <c r="A227" t="s">
        <v>294</v>
      </c>
      <c r="B227" t="s">
        <v>224</v>
      </c>
      <c r="C227">
        <v>4.8</v>
      </c>
      <c r="D227">
        <v>9867</v>
      </c>
      <c r="E227" s="10">
        <v>16</v>
      </c>
      <c r="F227">
        <v>2018</v>
      </c>
      <c r="G227" t="s">
        <v>9</v>
      </c>
    </row>
    <row r="228" spans="1:7" x14ac:dyDescent="0.25">
      <c r="A228" t="s">
        <v>295</v>
      </c>
      <c r="B228" t="s">
        <v>64</v>
      </c>
      <c r="C228">
        <v>4.5</v>
      </c>
      <c r="D228">
        <v>1386</v>
      </c>
      <c r="E228" s="10">
        <v>20</v>
      </c>
      <c r="F228">
        <v>2014</v>
      </c>
      <c r="G228" t="s">
        <v>9</v>
      </c>
    </row>
    <row r="229" spans="1:7" x14ac:dyDescent="0.25">
      <c r="A229" t="s">
        <v>296</v>
      </c>
      <c r="B229" t="s">
        <v>297</v>
      </c>
      <c r="C229">
        <v>4.7</v>
      </c>
      <c r="D229">
        <v>10199</v>
      </c>
      <c r="E229" s="10">
        <v>11</v>
      </c>
      <c r="F229">
        <v>2017</v>
      </c>
      <c r="G229" t="s">
        <v>9</v>
      </c>
    </row>
    <row r="230" spans="1:7" x14ac:dyDescent="0.25">
      <c r="A230" t="s">
        <v>298</v>
      </c>
      <c r="B230" t="s">
        <v>299</v>
      </c>
      <c r="C230">
        <v>4.8</v>
      </c>
      <c r="D230">
        <v>2926</v>
      </c>
      <c r="E230" s="10">
        <v>27</v>
      </c>
      <c r="F230">
        <v>2009</v>
      </c>
      <c r="G230" t="s">
        <v>9</v>
      </c>
    </row>
    <row r="231" spans="1:7" x14ac:dyDescent="0.25">
      <c r="A231" t="s">
        <v>300</v>
      </c>
      <c r="B231" t="s">
        <v>301</v>
      </c>
      <c r="C231">
        <v>4.7</v>
      </c>
      <c r="D231">
        <v>17739</v>
      </c>
      <c r="E231" s="10">
        <v>8</v>
      </c>
      <c r="F231">
        <v>2016</v>
      </c>
      <c r="G231" t="s">
        <v>9</v>
      </c>
    </row>
    <row r="232" spans="1:7" x14ac:dyDescent="0.25">
      <c r="A232" t="s">
        <v>300</v>
      </c>
      <c r="B232" t="s">
        <v>301</v>
      </c>
      <c r="C232">
        <v>4.7</v>
      </c>
      <c r="D232">
        <v>17739</v>
      </c>
      <c r="E232" s="10">
        <v>8</v>
      </c>
      <c r="F232">
        <v>2017</v>
      </c>
      <c r="G232" t="s">
        <v>9</v>
      </c>
    </row>
    <row r="233" spans="1:7" x14ac:dyDescent="0.25">
      <c r="A233" t="s">
        <v>300</v>
      </c>
      <c r="B233" t="s">
        <v>301</v>
      </c>
      <c r="C233">
        <v>4.7</v>
      </c>
      <c r="D233">
        <v>17739</v>
      </c>
      <c r="E233" s="10">
        <v>8</v>
      </c>
      <c r="F233">
        <v>2018</v>
      </c>
      <c r="G233" t="s">
        <v>9</v>
      </c>
    </row>
    <row r="234" spans="1:7" x14ac:dyDescent="0.25">
      <c r="A234" t="s">
        <v>302</v>
      </c>
      <c r="B234" t="s">
        <v>303</v>
      </c>
      <c r="C234">
        <v>4.4000000000000004</v>
      </c>
      <c r="D234">
        <v>3113</v>
      </c>
      <c r="E234" s="10">
        <v>6</v>
      </c>
      <c r="F234">
        <v>2017</v>
      </c>
      <c r="G234" t="s">
        <v>9</v>
      </c>
    </row>
    <row r="235" spans="1:7" x14ac:dyDescent="0.25">
      <c r="A235" t="s">
        <v>304</v>
      </c>
      <c r="B235" t="s">
        <v>305</v>
      </c>
      <c r="C235">
        <v>4.5999999999999996</v>
      </c>
      <c r="D235">
        <v>5542</v>
      </c>
      <c r="E235" s="10">
        <v>10</v>
      </c>
      <c r="F235">
        <v>2014</v>
      </c>
      <c r="G235" t="s">
        <v>9</v>
      </c>
    </row>
    <row r="236" spans="1:7" x14ac:dyDescent="0.25">
      <c r="A236" t="s">
        <v>304</v>
      </c>
      <c r="B236" t="s">
        <v>305</v>
      </c>
      <c r="C236">
        <v>4.5999999999999996</v>
      </c>
      <c r="D236">
        <v>5542</v>
      </c>
      <c r="E236" s="10">
        <v>10</v>
      </c>
      <c r="F236">
        <v>2015</v>
      </c>
      <c r="G236" t="s">
        <v>9</v>
      </c>
    </row>
    <row r="237" spans="1:7" x14ac:dyDescent="0.25">
      <c r="A237" t="s">
        <v>304</v>
      </c>
      <c r="B237" t="s">
        <v>305</v>
      </c>
      <c r="C237">
        <v>4.5999999999999996</v>
      </c>
      <c r="D237">
        <v>5542</v>
      </c>
      <c r="E237" s="10">
        <v>10</v>
      </c>
      <c r="F237">
        <v>2016</v>
      </c>
      <c r="G237" t="s">
        <v>9</v>
      </c>
    </row>
    <row r="238" spans="1:7" x14ac:dyDescent="0.25">
      <c r="A238" t="s">
        <v>306</v>
      </c>
      <c r="B238" t="s">
        <v>88</v>
      </c>
      <c r="C238">
        <v>4.5</v>
      </c>
      <c r="D238">
        <v>26741</v>
      </c>
      <c r="E238" s="10">
        <v>8</v>
      </c>
      <c r="F238">
        <v>2010</v>
      </c>
      <c r="G238" t="s">
        <v>12</v>
      </c>
    </row>
    <row r="239" spans="1:7" x14ac:dyDescent="0.25">
      <c r="A239" t="s">
        <v>306</v>
      </c>
      <c r="B239" t="s">
        <v>88</v>
      </c>
      <c r="C239">
        <v>4.5</v>
      </c>
      <c r="D239">
        <v>26741</v>
      </c>
      <c r="E239" s="10">
        <v>8</v>
      </c>
      <c r="F239">
        <v>2011</v>
      </c>
      <c r="G239" t="s">
        <v>12</v>
      </c>
    </row>
    <row r="240" spans="1:7" x14ac:dyDescent="0.25">
      <c r="A240" t="s">
        <v>306</v>
      </c>
      <c r="B240" t="s">
        <v>88</v>
      </c>
      <c r="C240">
        <v>4.5</v>
      </c>
      <c r="D240">
        <v>26741</v>
      </c>
      <c r="E240" s="10">
        <v>8</v>
      </c>
      <c r="F240">
        <v>2012</v>
      </c>
      <c r="G240" t="s">
        <v>12</v>
      </c>
    </row>
    <row r="241" spans="1:7" x14ac:dyDescent="0.25">
      <c r="A241" t="s">
        <v>307</v>
      </c>
      <c r="B241" t="s">
        <v>308</v>
      </c>
      <c r="C241">
        <v>4.8</v>
      </c>
      <c r="D241">
        <v>5347</v>
      </c>
      <c r="E241" s="10">
        <v>16</v>
      </c>
      <c r="F241">
        <v>2019</v>
      </c>
      <c r="G241" t="s">
        <v>9</v>
      </c>
    </row>
    <row r="242" spans="1:7" x14ac:dyDescent="0.25">
      <c r="A242" t="s">
        <v>309</v>
      </c>
      <c r="B242" t="s">
        <v>310</v>
      </c>
      <c r="C242">
        <v>4.8</v>
      </c>
      <c r="D242">
        <v>7866</v>
      </c>
      <c r="E242" s="10">
        <v>11</v>
      </c>
      <c r="F242">
        <v>2019</v>
      </c>
      <c r="G242" t="s">
        <v>9</v>
      </c>
    </row>
    <row r="243" spans="1:7" x14ac:dyDescent="0.25">
      <c r="A243" t="s">
        <v>311</v>
      </c>
      <c r="B243" t="s">
        <v>75</v>
      </c>
      <c r="C243">
        <v>4.5999999999999996</v>
      </c>
      <c r="D243">
        <v>5680</v>
      </c>
      <c r="E243" s="10">
        <v>10</v>
      </c>
      <c r="F243">
        <v>2009</v>
      </c>
      <c r="G243" t="s">
        <v>12</v>
      </c>
    </row>
    <row r="244" spans="1:7" x14ac:dyDescent="0.25">
      <c r="A244" t="s">
        <v>312</v>
      </c>
      <c r="B244" t="s">
        <v>313</v>
      </c>
      <c r="C244">
        <v>4.7</v>
      </c>
      <c r="D244">
        <v>5178</v>
      </c>
      <c r="E244" s="10">
        <v>9</v>
      </c>
      <c r="F244">
        <v>2016</v>
      </c>
      <c r="G244" t="s">
        <v>9</v>
      </c>
    </row>
    <row r="245" spans="1:7" x14ac:dyDescent="0.25">
      <c r="A245" t="s">
        <v>314</v>
      </c>
      <c r="B245" t="s">
        <v>315</v>
      </c>
      <c r="C245">
        <v>4.5999999999999996</v>
      </c>
      <c r="D245">
        <v>8093</v>
      </c>
      <c r="E245" s="10">
        <v>14</v>
      </c>
      <c r="F245">
        <v>2012</v>
      </c>
      <c r="G245" t="s">
        <v>9</v>
      </c>
    </row>
    <row r="246" spans="1:7" x14ac:dyDescent="0.25">
      <c r="A246" t="s">
        <v>316</v>
      </c>
      <c r="B246" t="s">
        <v>317</v>
      </c>
      <c r="C246">
        <v>4.9000000000000004</v>
      </c>
      <c r="D246">
        <v>3192</v>
      </c>
      <c r="E246" s="10">
        <v>22</v>
      </c>
      <c r="F246">
        <v>2017</v>
      </c>
      <c r="G246" t="s">
        <v>9</v>
      </c>
    </row>
    <row r="247" spans="1:7" x14ac:dyDescent="0.25">
      <c r="A247" t="s">
        <v>318</v>
      </c>
      <c r="B247" t="s">
        <v>319</v>
      </c>
      <c r="C247">
        <v>4.9000000000000004</v>
      </c>
      <c r="D247">
        <v>21834</v>
      </c>
      <c r="E247" s="10">
        <v>8</v>
      </c>
      <c r="F247">
        <v>2012</v>
      </c>
      <c r="G247" t="s">
        <v>12</v>
      </c>
    </row>
    <row r="248" spans="1:7" x14ac:dyDescent="0.25">
      <c r="A248" t="s">
        <v>318</v>
      </c>
      <c r="B248" t="s">
        <v>319</v>
      </c>
      <c r="C248">
        <v>4.9000000000000004</v>
      </c>
      <c r="D248">
        <v>21834</v>
      </c>
      <c r="E248" s="10">
        <v>8</v>
      </c>
      <c r="F248">
        <v>2013</v>
      </c>
      <c r="G248" t="s">
        <v>12</v>
      </c>
    </row>
    <row r="249" spans="1:7" x14ac:dyDescent="0.25">
      <c r="A249" t="s">
        <v>318</v>
      </c>
      <c r="B249" t="s">
        <v>319</v>
      </c>
      <c r="C249">
        <v>4.9000000000000004</v>
      </c>
      <c r="D249">
        <v>21834</v>
      </c>
      <c r="E249" s="10">
        <v>8</v>
      </c>
      <c r="F249">
        <v>2014</v>
      </c>
      <c r="G249" t="s">
        <v>12</v>
      </c>
    </row>
    <row r="250" spans="1:7" x14ac:dyDescent="0.25">
      <c r="A250" t="s">
        <v>318</v>
      </c>
      <c r="B250" t="s">
        <v>319</v>
      </c>
      <c r="C250">
        <v>4.9000000000000004</v>
      </c>
      <c r="D250">
        <v>21834</v>
      </c>
      <c r="E250" s="10">
        <v>8</v>
      </c>
      <c r="F250">
        <v>2015</v>
      </c>
      <c r="G250" t="s">
        <v>12</v>
      </c>
    </row>
    <row r="251" spans="1:7" x14ac:dyDescent="0.25">
      <c r="A251" t="s">
        <v>318</v>
      </c>
      <c r="B251" t="s">
        <v>319</v>
      </c>
      <c r="C251">
        <v>4.9000000000000004</v>
      </c>
      <c r="D251">
        <v>21834</v>
      </c>
      <c r="E251" s="10">
        <v>8</v>
      </c>
      <c r="F251">
        <v>2016</v>
      </c>
      <c r="G251" t="s">
        <v>12</v>
      </c>
    </row>
    <row r="252" spans="1:7" x14ac:dyDescent="0.25">
      <c r="A252" t="s">
        <v>318</v>
      </c>
      <c r="B252" t="s">
        <v>319</v>
      </c>
      <c r="C252">
        <v>4.9000000000000004</v>
      </c>
      <c r="D252">
        <v>21834</v>
      </c>
      <c r="E252" s="10">
        <v>8</v>
      </c>
      <c r="F252">
        <v>2017</v>
      </c>
      <c r="G252" t="s">
        <v>12</v>
      </c>
    </row>
    <row r="253" spans="1:7" x14ac:dyDescent="0.25">
      <c r="A253" t="s">
        <v>318</v>
      </c>
      <c r="B253" t="s">
        <v>319</v>
      </c>
      <c r="C253">
        <v>4.9000000000000004</v>
      </c>
      <c r="D253">
        <v>21834</v>
      </c>
      <c r="E253" s="10">
        <v>8</v>
      </c>
      <c r="F253">
        <v>2018</v>
      </c>
      <c r="G253" t="s">
        <v>12</v>
      </c>
    </row>
    <row r="254" spans="1:7" x14ac:dyDescent="0.25">
      <c r="A254" t="s">
        <v>318</v>
      </c>
      <c r="B254" t="s">
        <v>319</v>
      </c>
      <c r="C254">
        <v>4.9000000000000004</v>
      </c>
      <c r="D254">
        <v>21834</v>
      </c>
      <c r="E254" s="10">
        <v>8</v>
      </c>
      <c r="F254">
        <v>2019</v>
      </c>
      <c r="G254" t="s">
        <v>12</v>
      </c>
    </row>
    <row r="255" spans="1:7" x14ac:dyDescent="0.25">
      <c r="A255" t="s">
        <v>320</v>
      </c>
      <c r="B255" t="s">
        <v>80</v>
      </c>
      <c r="C255">
        <v>4.8</v>
      </c>
      <c r="D255">
        <v>6169</v>
      </c>
      <c r="E255" s="10">
        <v>7</v>
      </c>
      <c r="F255">
        <v>2015</v>
      </c>
      <c r="G255" t="s">
        <v>12</v>
      </c>
    </row>
    <row r="256" spans="1:7" x14ac:dyDescent="0.25">
      <c r="A256" t="s">
        <v>321</v>
      </c>
      <c r="B256" t="s">
        <v>322</v>
      </c>
      <c r="C256">
        <v>4.2</v>
      </c>
      <c r="D256">
        <v>4519</v>
      </c>
      <c r="E256" s="10">
        <v>12</v>
      </c>
      <c r="F256">
        <v>2009</v>
      </c>
      <c r="G256" t="s">
        <v>12</v>
      </c>
    </row>
    <row r="257" spans="1:7" x14ac:dyDescent="0.25">
      <c r="A257" t="s">
        <v>323</v>
      </c>
      <c r="B257" t="s">
        <v>324</v>
      </c>
      <c r="C257">
        <v>4.5999999999999996</v>
      </c>
      <c r="D257">
        <v>3163</v>
      </c>
      <c r="E257" s="10">
        <v>13</v>
      </c>
      <c r="F257">
        <v>2011</v>
      </c>
      <c r="G257" t="s">
        <v>9</v>
      </c>
    </row>
    <row r="258" spans="1:7" x14ac:dyDescent="0.25">
      <c r="A258" t="s">
        <v>323</v>
      </c>
      <c r="B258" t="s">
        <v>324</v>
      </c>
      <c r="C258">
        <v>4.5999999999999996</v>
      </c>
      <c r="D258">
        <v>3163</v>
      </c>
      <c r="E258" s="10">
        <v>13</v>
      </c>
      <c r="F258">
        <v>2012</v>
      </c>
      <c r="G258" t="s">
        <v>9</v>
      </c>
    </row>
    <row r="259" spans="1:7" x14ac:dyDescent="0.25">
      <c r="A259" t="s">
        <v>325</v>
      </c>
      <c r="B259" t="s">
        <v>273</v>
      </c>
      <c r="C259">
        <v>4.5</v>
      </c>
      <c r="D259">
        <v>1831</v>
      </c>
      <c r="E259" s="10">
        <v>9</v>
      </c>
      <c r="F259">
        <v>2017</v>
      </c>
      <c r="G259" t="s">
        <v>9</v>
      </c>
    </row>
    <row r="260" spans="1:7" x14ac:dyDescent="0.25">
      <c r="A260" t="s">
        <v>326</v>
      </c>
      <c r="B260" t="s">
        <v>245</v>
      </c>
      <c r="C260">
        <v>4.3</v>
      </c>
      <c r="D260">
        <v>18904</v>
      </c>
      <c r="E260" s="10">
        <v>13</v>
      </c>
      <c r="F260">
        <v>2017</v>
      </c>
      <c r="G260" t="s">
        <v>12</v>
      </c>
    </row>
    <row r="261" spans="1:7" x14ac:dyDescent="0.25">
      <c r="A261" t="s">
        <v>327</v>
      </c>
      <c r="B261" t="s">
        <v>328</v>
      </c>
      <c r="C261">
        <v>4.5999999999999996</v>
      </c>
      <c r="D261">
        <v>21930</v>
      </c>
      <c r="E261" s="10">
        <v>11</v>
      </c>
      <c r="F261">
        <v>2014</v>
      </c>
      <c r="G261" t="s">
        <v>12</v>
      </c>
    </row>
    <row r="262" spans="1:7" x14ac:dyDescent="0.25">
      <c r="A262" t="s">
        <v>329</v>
      </c>
      <c r="B262" t="s">
        <v>103</v>
      </c>
      <c r="C262">
        <v>4.5999999999999996</v>
      </c>
      <c r="D262">
        <v>10426</v>
      </c>
      <c r="E262" s="10">
        <v>20</v>
      </c>
      <c r="F262">
        <v>2009</v>
      </c>
      <c r="G262" t="s">
        <v>9</v>
      </c>
    </row>
    <row r="263" spans="1:7" x14ac:dyDescent="0.25">
      <c r="A263" t="s">
        <v>329</v>
      </c>
      <c r="B263" t="s">
        <v>103</v>
      </c>
      <c r="C263">
        <v>4.5999999999999996</v>
      </c>
      <c r="D263">
        <v>10426</v>
      </c>
      <c r="E263" s="10">
        <v>20</v>
      </c>
      <c r="F263">
        <v>2010</v>
      </c>
      <c r="G263" t="s">
        <v>9</v>
      </c>
    </row>
    <row r="264" spans="1:7" x14ac:dyDescent="0.25">
      <c r="A264" t="s">
        <v>330</v>
      </c>
      <c r="B264" t="s">
        <v>331</v>
      </c>
      <c r="C264">
        <v>4.7</v>
      </c>
      <c r="D264">
        <v>10820</v>
      </c>
      <c r="E264" s="10">
        <v>5</v>
      </c>
      <c r="F264">
        <v>2018</v>
      </c>
      <c r="G264" t="s">
        <v>9</v>
      </c>
    </row>
    <row r="265" spans="1:7" x14ac:dyDescent="0.25">
      <c r="A265" t="s">
        <v>330</v>
      </c>
      <c r="B265" t="s">
        <v>331</v>
      </c>
      <c r="C265">
        <v>4.7</v>
      </c>
      <c r="D265">
        <v>10820</v>
      </c>
      <c r="E265" s="10">
        <v>5</v>
      </c>
      <c r="F265">
        <v>2019</v>
      </c>
      <c r="G265" t="s">
        <v>9</v>
      </c>
    </row>
    <row r="266" spans="1:7" x14ac:dyDescent="0.25">
      <c r="A266" t="s">
        <v>332</v>
      </c>
      <c r="B266" t="s">
        <v>333</v>
      </c>
      <c r="C266">
        <v>4.8</v>
      </c>
      <c r="D266">
        <v>548</v>
      </c>
      <c r="E266" s="10">
        <v>2</v>
      </c>
      <c r="F266">
        <v>2010</v>
      </c>
      <c r="G266" t="s">
        <v>12</v>
      </c>
    </row>
    <row r="267" spans="1:7" x14ac:dyDescent="0.25">
      <c r="A267" t="s">
        <v>334</v>
      </c>
      <c r="B267" t="s">
        <v>335</v>
      </c>
      <c r="C267">
        <v>4.8</v>
      </c>
      <c r="D267">
        <v>16990</v>
      </c>
      <c r="E267" s="10">
        <v>27</v>
      </c>
      <c r="F267">
        <v>2017</v>
      </c>
      <c r="G267" t="s">
        <v>12</v>
      </c>
    </row>
    <row r="268" spans="1:7" x14ac:dyDescent="0.25">
      <c r="A268" t="s">
        <v>334</v>
      </c>
      <c r="B268" t="s">
        <v>335</v>
      </c>
      <c r="C268">
        <v>4.8</v>
      </c>
      <c r="D268">
        <v>16990</v>
      </c>
      <c r="E268" s="10">
        <v>27</v>
      </c>
      <c r="F268">
        <v>2018</v>
      </c>
      <c r="G268" t="s">
        <v>12</v>
      </c>
    </row>
    <row r="269" spans="1:7" x14ac:dyDescent="0.25">
      <c r="A269" t="s">
        <v>334</v>
      </c>
      <c r="B269" t="s">
        <v>335</v>
      </c>
      <c r="C269">
        <v>4.8</v>
      </c>
      <c r="D269">
        <v>16990</v>
      </c>
      <c r="E269" s="10">
        <v>27</v>
      </c>
      <c r="F269">
        <v>2019</v>
      </c>
      <c r="G269" t="s">
        <v>12</v>
      </c>
    </row>
    <row r="270" spans="1:7" x14ac:dyDescent="0.25">
      <c r="A270" t="s">
        <v>336</v>
      </c>
      <c r="B270" t="s">
        <v>215</v>
      </c>
      <c r="C270">
        <v>4.7</v>
      </c>
      <c r="D270">
        <v>3503</v>
      </c>
      <c r="E270" s="10">
        <v>9</v>
      </c>
      <c r="F270">
        <v>2016</v>
      </c>
      <c r="G270" t="s">
        <v>12</v>
      </c>
    </row>
    <row r="271" spans="1:7" x14ac:dyDescent="0.25">
      <c r="A271" t="s">
        <v>337</v>
      </c>
      <c r="B271" t="s">
        <v>338</v>
      </c>
      <c r="C271">
        <v>4.3</v>
      </c>
      <c r="D271">
        <v>13616</v>
      </c>
      <c r="E271" s="10">
        <v>10</v>
      </c>
      <c r="F271">
        <v>2012</v>
      </c>
      <c r="G271" t="s">
        <v>9</v>
      </c>
    </row>
    <row r="272" spans="1:7" x14ac:dyDescent="0.25">
      <c r="A272" t="s">
        <v>337</v>
      </c>
      <c r="B272" t="s">
        <v>338</v>
      </c>
      <c r="C272">
        <v>4.3</v>
      </c>
      <c r="D272">
        <v>13616</v>
      </c>
      <c r="E272" s="10">
        <v>10</v>
      </c>
      <c r="F272">
        <v>2013</v>
      </c>
      <c r="G272" t="s">
        <v>9</v>
      </c>
    </row>
    <row r="273" spans="1:7" x14ac:dyDescent="0.25">
      <c r="A273" t="s">
        <v>339</v>
      </c>
      <c r="B273" t="s">
        <v>340</v>
      </c>
      <c r="C273">
        <v>4.5</v>
      </c>
      <c r="D273">
        <v>8580</v>
      </c>
      <c r="E273" s="10">
        <v>46</v>
      </c>
      <c r="F273">
        <v>2009</v>
      </c>
      <c r="G273" t="s">
        <v>9</v>
      </c>
    </row>
    <row r="274" spans="1:7" x14ac:dyDescent="0.25">
      <c r="A274" t="s">
        <v>339</v>
      </c>
      <c r="B274" t="s">
        <v>340</v>
      </c>
      <c r="C274">
        <v>4.5</v>
      </c>
      <c r="D274">
        <v>8580</v>
      </c>
      <c r="E274" s="10">
        <v>46</v>
      </c>
      <c r="F274">
        <v>2010</v>
      </c>
      <c r="G274" t="s">
        <v>9</v>
      </c>
    </row>
    <row r="275" spans="1:7" x14ac:dyDescent="0.25">
      <c r="A275" t="s">
        <v>339</v>
      </c>
      <c r="B275" t="s">
        <v>340</v>
      </c>
      <c r="C275">
        <v>4.5</v>
      </c>
      <c r="D275">
        <v>8580</v>
      </c>
      <c r="E275" s="10">
        <v>46</v>
      </c>
      <c r="F275">
        <v>2011</v>
      </c>
      <c r="G275" t="s">
        <v>9</v>
      </c>
    </row>
    <row r="276" spans="1:7" x14ac:dyDescent="0.25">
      <c r="A276" t="s">
        <v>339</v>
      </c>
      <c r="B276" t="s">
        <v>340</v>
      </c>
      <c r="C276">
        <v>4.5</v>
      </c>
      <c r="D276">
        <v>8580</v>
      </c>
      <c r="E276" s="10">
        <v>46</v>
      </c>
      <c r="F276">
        <v>2012</v>
      </c>
      <c r="G276" t="s">
        <v>9</v>
      </c>
    </row>
    <row r="277" spans="1:7" x14ac:dyDescent="0.25">
      <c r="A277" t="s">
        <v>339</v>
      </c>
      <c r="B277" t="s">
        <v>340</v>
      </c>
      <c r="C277">
        <v>4.5</v>
      </c>
      <c r="D277">
        <v>8580</v>
      </c>
      <c r="E277" s="10">
        <v>46</v>
      </c>
      <c r="F277">
        <v>2013</v>
      </c>
      <c r="G277" t="s">
        <v>9</v>
      </c>
    </row>
    <row r="278" spans="1:7" x14ac:dyDescent="0.25">
      <c r="A278" t="s">
        <v>339</v>
      </c>
      <c r="B278" t="s">
        <v>340</v>
      </c>
      <c r="C278">
        <v>4.5</v>
      </c>
      <c r="D278">
        <v>8580</v>
      </c>
      <c r="E278" s="10">
        <v>46</v>
      </c>
      <c r="F278">
        <v>2014</v>
      </c>
      <c r="G278" t="s">
        <v>9</v>
      </c>
    </row>
    <row r="279" spans="1:7" x14ac:dyDescent="0.25">
      <c r="A279" t="s">
        <v>339</v>
      </c>
      <c r="B279" t="s">
        <v>340</v>
      </c>
      <c r="C279">
        <v>4.5</v>
      </c>
      <c r="D279">
        <v>8580</v>
      </c>
      <c r="E279" s="10">
        <v>46</v>
      </c>
      <c r="F279">
        <v>2015</v>
      </c>
      <c r="G279" t="s">
        <v>9</v>
      </c>
    </row>
    <row r="280" spans="1:7" x14ac:dyDescent="0.25">
      <c r="A280" t="s">
        <v>339</v>
      </c>
      <c r="B280" t="s">
        <v>340</v>
      </c>
      <c r="C280">
        <v>4.5</v>
      </c>
      <c r="D280">
        <v>8580</v>
      </c>
      <c r="E280" s="10">
        <v>46</v>
      </c>
      <c r="F280">
        <v>2016</v>
      </c>
      <c r="G280" t="s">
        <v>9</v>
      </c>
    </row>
    <row r="281" spans="1:7" x14ac:dyDescent="0.25">
      <c r="A281" t="s">
        <v>339</v>
      </c>
      <c r="B281" t="s">
        <v>340</v>
      </c>
      <c r="C281">
        <v>4.5</v>
      </c>
      <c r="D281">
        <v>8580</v>
      </c>
      <c r="E281" s="10">
        <v>46</v>
      </c>
      <c r="F281">
        <v>2017</v>
      </c>
      <c r="G281" t="s">
        <v>9</v>
      </c>
    </row>
    <row r="282" spans="1:7" x14ac:dyDescent="0.25">
      <c r="A282" t="s">
        <v>339</v>
      </c>
      <c r="B282" t="s">
        <v>340</v>
      </c>
      <c r="C282">
        <v>4.5</v>
      </c>
      <c r="D282">
        <v>8580</v>
      </c>
      <c r="E282" s="10">
        <v>46</v>
      </c>
      <c r="F282">
        <v>2018</v>
      </c>
      <c r="G282" t="s">
        <v>9</v>
      </c>
    </row>
    <row r="283" spans="1:7" x14ac:dyDescent="0.25">
      <c r="A283" t="s">
        <v>341</v>
      </c>
      <c r="B283" t="s">
        <v>342</v>
      </c>
      <c r="C283">
        <v>4.8</v>
      </c>
      <c r="D283">
        <v>4757</v>
      </c>
      <c r="E283" s="10">
        <v>4</v>
      </c>
      <c r="F283">
        <v>2017</v>
      </c>
      <c r="G283" t="s">
        <v>12</v>
      </c>
    </row>
    <row r="284" spans="1:7" x14ac:dyDescent="0.25">
      <c r="A284" t="s">
        <v>343</v>
      </c>
      <c r="B284" t="s">
        <v>344</v>
      </c>
      <c r="C284">
        <v>4.5999999999999996</v>
      </c>
      <c r="D284">
        <v>10009</v>
      </c>
      <c r="E284" s="10">
        <v>20</v>
      </c>
      <c r="F284">
        <v>2012</v>
      </c>
      <c r="G284" t="s">
        <v>9</v>
      </c>
    </row>
    <row r="285" spans="1:7" x14ac:dyDescent="0.25">
      <c r="A285" t="s">
        <v>343</v>
      </c>
      <c r="B285" t="s">
        <v>344</v>
      </c>
      <c r="C285">
        <v>4.5999999999999996</v>
      </c>
      <c r="D285">
        <v>10009</v>
      </c>
      <c r="E285" s="10">
        <v>7</v>
      </c>
      <c r="F285">
        <v>2013</v>
      </c>
      <c r="G285" t="s">
        <v>9</v>
      </c>
    </row>
    <row r="286" spans="1:7" x14ac:dyDescent="0.25">
      <c r="A286" t="s">
        <v>345</v>
      </c>
      <c r="B286" t="s">
        <v>346</v>
      </c>
      <c r="C286">
        <v>4.7</v>
      </c>
      <c r="D286">
        <v>1985</v>
      </c>
      <c r="E286" s="10">
        <v>9</v>
      </c>
      <c r="F286">
        <v>2010</v>
      </c>
      <c r="G286" t="s">
        <v>9</v>
      </c>
    </row>
    <row r="287" spans="1:7" x14ac:dyDescent="0.25">
      <c r="A287" t="s">
        <v>345</v>
      </c>
      <c r="B287" t="s">
        <v>346</v>
      </c>
      <c r="C287">
        <v>4.7</v>
      </c>
      <c r="D287">
        <v>1985</v>
      </c>
      <c r="E287" s="10">
        <v>9</v>
      </c>
      <c r="F287">
        <v>2011</v>
      </c>
      <c r="G287" t="s">
        <v>9</v>
      </c>
    </row>
    <row r="288" spans="1:7" x14ac:dyDescent="0.25">
      <c r="A288" t="s">
        <v>347</v>
      </c>
      <c r="B288" t="s">
        <v>348</v>
      </c>
      <c r="C288">
        <v>4.5999999999999996</v>
      </c>
      <c r="D288">
        <v>22536</v>
      </c>
      <c r="E288" s="10">
        <v>12</v>
      </c>
      <c r="F288">
        <v>2017</v>
      </c>
      <c r="G288" t="s">
        <v>12</v>
      </c>
    </row>
    <row r="289" spans="1:7" x14ac:dyDescent="0.25">
      <c r="A289" t="s">
        <v>347</v>
      </c>
      <c r="B289" t="s">
        <v>348</v>
      </c>
      <c r="C289">
        <v>4.5999999999999996</v>
      </c>
      <c r="D289">
        <v>22536</v>
      </c>
      <c r="E289" s="10">
        <v>12</v>
      </c>
      <c r="F289">
        <v>2018</v>
      </c>
      <c r="G289" t="s">
        <v>12</v>
      </c>
    </row>
    <row r="290" spans="1:7" x14ac:dyDescent="0.25">
      <c r="A290" t="s">
        <v>349</v>
      </c>
      <c r="B290" t="s">
        <v>350</v>
      </c>
      <c r="C290">
        <v>4.9000000000000004</v>
      </c>
      <c r="D290">
        <v>7150</v>
      </c>
      <c r="E290" s="10">
        <v>12</v>
      </c>
      <c r="F290">
        <v>2013</v>
      </c>
      <c r="G290" t="s">
        <v>12</v>
      </c>
    </row>
    <row r="291" spans="1:7" x14ac:dyDescent="0.25">
      <c r="A291" t="s">
        <v>351</v>
      </c>
      <c r="B291" t="s">
        <v>350</v>
      </c>
      <c r="C291">
        <v>4.9000000000000004</v>
      </c>
      <c r="D291">
        <v>3836</v>
      </c>
      <c r="E291" s="10">
        <v>12</v>
      </c>
      <c r="F291">
        <v>2014</v>
      </c>
      <c r="G291" t="s">
        <v>12</v>
      </c>
    </row>
    <row r="292" spans="1:7" x14ac:dyDescent="0.25">
      <c r="A292" t="s">
        <v>352</v>
      </c>
      <c r="B292" t="s">
        <v>353</v>
      </c>
      <c r="C292">
        <v>4.8</v>
      </c>
      <c r="D292">
        <v>7802</v>
      </c>
      <c r="E292" s="10">
        <v>20</v>
      </c>
      <c r="F292">
        <v>2018</v>
      </c>
      <c r="G292" t="s">
        <v>9</v>
      </c>
    </row>
    <row r="293" spans="1:7" x14ac:dyDescent="0.25">
      <c r="A293" t="s">
        <v>352</v>
      </c>
      <c r="B293" t="s">
        <v>353</v>
      </c>
      <c r="C293">
        <v>4.8</v>
      </c>
      <c r="D293">
        <v>7802</v>
      </c>
      <c r="E293" s="10">
        <v>20</v>
      </c>
      <c r="F293">
        <v>2019</v>
      </c>
      <c r="G293" t="s">
        <v>9</v>
      </c>
    </row>
    <row r="294" spans="1:7" x14ac:dyDescent="0.25">
      <c r="A294" t="s">
        <v>354</v>
      </c>
      <c r="B294" t="s">
        <v>355</v>
      </c>
      <c r="C294">
        <v>4.5999999999999996</v>
      </c>
      <c r="D294">
        <v>3619</v>
      </c>
      <c r="E294" s="10">
        <v>10</v>
      </c>
      <c r="F294">
        <v>2010</v>
      </c>
      <c r="G294" t="s">
        <v>12</v>
      </c>
    </row>
    <row r="295" spans="1:7" x14ac:dyDescent="0.25">
      <c r="A295" t="s">
        <v>356</v>
      </c>
      <c r="B295" t="s">
        <v>357</v>
      </c>
      <c r="C295">
        <v>4.8</v>
      </c>
      <c r="D295">
        <v>23047</v>
      </c>
      <c r="E295" s="10">
        <v>6</v>
      </c>
      <c r="F295">
        <v>2018</v>
      </c>
      <c r="G295" t="s">
        <v>9</v>
      </c>
    </row>
    <row r="296" spans="1:7" x14ac:dyDescent="0.25">
      <c r="A296" t="s">
        <v>356</v>
      </c>
      <c r="B296" t="s">
        <v>357</v>
      </c>
      <c r="C296">
        <v>4.8</v>
      </c>
      <c r="D296">
        <v>23047</v>
      </c>
      <c r="E296" s="10">
        <v>6</v>
      </c>
      <c r="F296">
        <v>2019</v>
      </c>
      <c r="G296" t="s">
        <v>9</v>
      </c>
    </row>
    <row r="297" spans="1:7" x14ac:dyDescent="0.25">
      <c r="A297" t="s">
        <v>358</v>
      </c>
      <c r="B297" t="s">
        <v>149</v>
      </c>
      <c r="C297">
        <v>4.7</v>
      </c>
      <c r="D297">
        <v>9366</v>
      </c>
      <c r="E297" s="10">
        <v>9</v>
      </c>
      <c r="F297">
        <v>2015</v>
      </c>
      <c r="G297" t="s">
        <v>9</v>
      </c>
    </row>
    <row r="298" spans="1:7" x14ac:dyDescent="0.25">
      <c r="A298" t="s">
        <v>359</v>
      </c>
      <c r="B298" t="s">
        <v>360</v>
      </c>
      <c r="C298">
        <v>4.7</v>
      </c>
      <c r="D298">
        <v>1265</v>
      </c>
      <c r="E298" s="10">
        <v>11</v>
      </c>
      <c r="F298">
        <v>2010</v>
      </c>
      <c r="G298" t="s">
        <v>9</v>
      </c>
    </row>
    <row r="299" spans="1:7" x14ac:dyDescent="0.25">
      <c r="A299" t="s">
        <v>361</v>
      </c>
      <c r="B299" t="s">
        <v>362</v>
      </c>
      <c r="C299">
        <v>4.8</v>
      </c>
      <c r="D299">
        <v>3923</v>
      </c>
      <c r="E299" s="10">
        <v>16</v>
      </c>
      <c r="F299">
        <v>2018</v>
      </c>
      <c r="G299" t="s">
        <v>9</v>
      </c>
    </row>
    <row r="300" spans="1:7" x14ac:dyDescent="0.25">
      <c r="A300" t="s">
        <v>363</v>
      </c>
      <c r="B300" t="s">
        <v>364</v>
      </c>
      <c r="C300">
        <v>4.0999999999999996</v>
      </c>
      <c r="D300">
        <v>2272</v>
      </c>
      <c r="E300" s="10">
        <v>6</v>
      </c>
      <c r="F300">
        <v>2013</v>
      </c>
      <c r="G300" t="s">
        <v>9</v>
      </c>
    </row>
    <row r="301" spans="1:7" x14ac:dyDescent="0.25">
      <c r="A301" t="s">
        <v>365</v>
      </c>
      <c r="B301" t="s">
        <v>105</v>
      </c>
      <c r="C301">
        <v>4.7</v>
      </c>
      <c r="D301">
        <v>973</v>
      </c>
      <c r="E301" s="10">
        <v>25</v>
      </c>
      <c r="F301">
        <v>2009</v>
      </c>
      <c r="G301" t="s">
        <v>12</v>
      </c>
    </row>
    <row r="302" spans="1:7" x14ac:dyDescent="0.25">
      <c r="A302" t="s">
        <v>366</v>
      </c>
      <c r="B302" t="s">
        <v>124</v>
      </c>
      <c r="C302">
        <v>4.5999999999999996</v>
      </c>
      <c r="D302">
        <v>220</v>
      </c>
      <c r="E302" s="10">
        <v>17</v>
      </c>
      <c r="F302">
        <v>2013</v>
      </c>
      <c r="G302" t="s">
        <v>9</v>
      </c>
    </row>
    <row r="303" spans="1:7" x14ac:dyDescent="0.25">
      <c r="A303" t="s">
        <v>367</v>
      </c>
      <c r="B303" t="s">
        <v>275</v>
      </c>
      <c r="C303">
        <v>4.5999999999999996</v>
      </c>
      <c r="D303">
        <v>7827</v>
      </c>
      <c r="E303" s="10">
        <v>20</v>
      </c>
      <c r="F303">
        <v>2011</v>
      </c>
      <c r="G303" t="s">
        <v>9</v>
      </c>
    </row>
    <row r="304" spans="1:7" x14ac:dyDescent="0.25">
      <c r="A304" t="s">
        <v>367</v>
      </c>
      <c r="B304" t="s">
        <v>275</v>
      </c>
      <c r="C304">
        <v>4.5999999999999996</v>
      </c>
      <c r="D304">
        <v>7827</v>
      </c>
      <c r="E304" s="10">
        <v>20</v>
      </c>
      <c r="F304">
        <v>2012</v>
      </c>
      <c r="G304" t="s">
        <v>9</v>
      </c>
    </row>
    <row r="305" spans="1:7" x14ac:dyDescent="0.25">
      <c r="A305" t="s">
        <v>368</v>
      </c>
      <c r="B305" t="s">
        <v>369</v>
      </c>
      <c r="C305">
        <v>4.9000000000000004</v>
      </c>
      <c r="D305">
        <v>9382</v>
      </c>
      <c r="E305" s="10">
        <v>6</v>
      </c>
      <c r="F305">
        <v>2019</v>
      </c>
      <c r="G305" t="s">
        <v>12</v>
      </c>
    </row>
    <row r="306" spans="1:7" x14ac:dyDescent="0.25">
      <c r="A306" t="s">
        <v>370</v>
      </c>
      <c r="B306" t="s">
        <v>371</v>
      </c>
      <c r="C306">
        <v>4</v>
      </c>
      <c r="D306">
        <v>5069</v>
      </c>
      <c r="E306" s="10">
        <v>17</v>
      </c>
      <c r="F306">
        <v>2009</v>
      </c>
      <c r="G306" t="s">
        <v>9</v>
      </c>
    </row>
    <row r="307" spans="1:7" x14ac:dyDescent="0.25">
      <c r="A307" t="s">
        <v>370</v>
      </c>
      <c r="B307" t="s">
        <v>371</v>
      </c>
      <c r="C307">
        <v>4</v>
      </c>
      <c r="D307">
        <v>5069</v>
      </c>
      <c r="E307" s="10">
        <v>17</v>
      </c>
      <c r="F307">
        <v>2010</v>
      </c>
      <c r="G307" t="s">
        <v>9</v>
      </c>
    </row>
    <row r="308" spans="1:7" x14ac:dyDescent="0.25">
      <c r="A308" t="s">
        <v>370</v>
      </c>
      <c r="B308" t="s">
        <v>371</v>
      </c>
      <c r="C308">
        <v>4</v>
      </c>
      <c r="D308">
        <v>5069</v>
      </c>
      <c r="E308" s="10">
        <v>17</v>
      </c>
      <c r="F308">
        <v>2011</v>
      </c>
      <c r="G308" t="s">
        <v>9</v>
      </c>
    </row>
    <row r="309" spans="1:7" x14ac:dyDescent="0.25">
      <c r="A309" t="s">
        <v>370</v>
      </c>
      <c r="B309" t="s">
        <v>371</v>
      </c>
      <c r="C309">
        <v>4</v>
      </c>
      <c r="D309">
        <v>5069</v>
      </c>
      <c r="E309" s="10">
        <v>17</v>
      </c>
      <c r="F309">
        <v>2012</v>
      </c>
      <c r="G309" t="s">
        <v>9</v>
      </c>
    </row>
    <row r="310" spans="1:7" x14ac:dyDescent="0.25">
      <c r="A310" t="s">
        <v>370</v>
      </c>
      <c r="B310" t="s">
        <v>371</v>
      </c>
      <c r="C310">
        <v>4</v>
      </c>
      <c r="D310">
        <v>5069</v>
      </c>
      <c r="E310" s="10">
        <v>17</v>
      </c>
      <c r="F310">
        <v>2013</v>
      </c>
      <c r="G310" t="s">
        <v>9</v>
      </c>
    </row>
    <row r="311" spans="1:7" x14ac:dyDescent="0.25">
      <c r="A311" t="s">
        <v>370</v>
      </c>
      <c r="B311" t="s">
        <v>371</v>
      </c>
      <c r="C311">
        <v>4</v>
      </c>
      <c r="D311">
        <v>5069</v>
      </c>
      <c r="E311" s="10">
        <v>17</v>
      </c>
      <c r="F311">
        <v>2014</v>
      </c>
      <c r="G311" t="s">
        <v>9</v>
      </c>
    </row>
    <row r="312" spans="1:7" x14ac:dyDescent="0.25">
      <c r="A312" t="s">
        <v>370</v>
      </c>
      <c r="B312" t="s">
        <v>371</v>
      </c>
      <c r="C312">
        <v>4</v>
      </c>
      <c r="D312">
        <v>5069</v>
      </c>
      <c r="E312" s="10">
        <v>17</v>
      </c>
      <c r="F312">
        <v>2015</v>
      </c>
      <c r="G312" t="s">
        <v>9</v>
      </c>
    </row>
    <row r="313" spans="1:7" x14ac:dyDescent="0.25">
      <c r="A313" t="s">
        <v>370</v>
      </c>
      <c r="B313" t="s">
        <v>371</v>
      </c>
      <c r="C313">
        <v>4</v>
      </c>
      <c r="D313">
        <v>5069</v>
      </c>
      <c r="E313" s="10">
        <v>17</v>
      </c>
      <c r="F313">
        <v>2016</v>
      </c>
      <c r="G313" t="s">
        <v>9</v>
      </c>
    </row>
    <row r="314" spans="1:7" x14ac:dyDescent="0.25">
      <c r="A314" t="s">
        <v>370</v>
      </c>
      <c r="B314" t="s">
        <v>371</v>
      </c>
      <c r="C314">
        <v>4</v>
      </c>
      <c r="D314">
        <v>5069</v>
      </c>
      <c r="E314" s="10">
        <v>17</v>
      </c>
      <c r="F314">
        <v>2017</v>
      </c>
      <c r="G314" t="s">
        <v>9</v>
      </c>
    </row>
    <row r="315" spans="1:7" x14ac:dyDescent="0.25">
      <c r="A315" t="s">
        <v>372</v>
      </c>
      <c r="B315" t="s">
        <v>373</v>
      </c>
      <c r="C315">
        <v>4.5</v>
      </c>
      <c r="D315">
        <v>1583</v>
      </c>
      <c r="E315" s="10">
        <v>18</v>
      </c>
      <c r="F315">
        <v>2009</v>
      </c>
      <c r="G315" t="s">
        <v>9</v>
      </c>
    </row>
    <row r="316" spans="1:7" x14ac:dyDescent="0.25">
      <c r="A316" t="s">
        <v>374</v>
      </c>
      <c r="B316" t="s">
        <v>375</v>
      </c>
      <c r="C316">
        <v>4.5999999999999996</v>
      </c>
      <c r="D316">
        <v>1907</v>
      </c>
      <c r="E316" s="10">
        <v>13</v>
      </c>
      <c r="F316">
        <v>2010</v>
      </c>
      <c r="G316" t="s">
        <v>9</v>
      </c>
    </row>
    <row r="317" spans="1:7" x14ac:dyDescent="0.25">
      <c r="A317" t="s">
        <v>376</v>
      </c>
      <c r="B317" t="s">
        <v>377</v>
      </c>
      <c r="C317">
        <v>4.5</v>
      </c>
      <c r="D317">
        <v>23114</v>
      </c>
      <c r="E317" s="10">
        <v>18</v>
      </c>
      <c r="F317">
        <v>2013</v>
      </c>
      <c r="G317" t="s">
        <v>12</v>
      </c>
    </row>
    <row r="318" spans="1:7" x14ac:dyDescent="0.25">
      <c r="A318" t="s">
        <v>378</v>
      </c>
      <c r="B318" t="s">
        <v>379</v>
      </c>
      <c r="C318">
        <v>4.4000000000000004</v>
      </c>
      <c r="D318">
        <v>637</v>
      </c>
      <c r="E318" s="10">
        <v>20</v>
      </c>
      <c r="F318">
        <v>2010</v>
      </c>
      <c r="G318" t="s">
        <v>9</v>
      </c>
    </row>
    <row r="319" spans="1:7" x14ac:dyDescent="0.25">
      <c r="A319" t="s">
        <v>378</v>
      </c>
      <c r="B319" t="s">
        <v>379</v>
      </c>
      <c r="C319">
        <v>4.4000000000000004</v>
      </c>
      <c r="D319">
        <v>637</v>
      </c>
      <c r="E319" s="10">
        <v>20</v>
      </c>
      <c r="F319">
        <v>2011</v>
      </c>
      <c r="G319" t="s">
        <v>9</v>
      </c>
    </row>
    <row r="320" spans="1:7" x14ac:dyDescent="0.25">
      <c r="A320" t="s">
        <v>380</v>
      </c>
      <c r="B320" t="s">
        <v>381</v>
      </c>
      <c r="C320">
        <v>4.3</v>
      </c>
      <c r="D320">
        <v>2314</v>
      </c>
      <c r="E320" s="10">
        <v>22</v>
      </c>
      <c r="F320">
        <v>2011</v>
      </c>
      <c r="G320" t="s">
        <v>9</v>
      </c>
    </row>
    <row r="321" spans="1:7" x14ac:dyDescent="0.25">
      <c r="A321" t="s">
        <v>382</v>
      </c>
      <c r="B321" t="s">
        <v>383</v>
      </c>
      <c r="C321">
        <v>4.3</v>
      </c>
      <c r="D321">
        <v>4587</v>
      </c>
      <c r="E321" s="10">
        <v>21</v>
      </c>
      <c r="F321">
        <v>2011</v>
      </c>
      <c r="G321" t="s">
        <v>9</v>
      </c>
    </row>
    <row r="322" spans="1:7" x14ac:dyDescent="0.25">
      <c r="A322" t="s">
        <v>384</v>
      </c>
      <c r="B322" t="s">
        <v>385</v>
      </c>
      <c r="C322">
        <v>4.7</v>
      </c>
      <c r="D322">
        <v>3477</v>
      </c>
      <c r="E322" s="10">
        <v>28</v>
      </c>
      <c r="F322">
        <v>2010</v>
      </c>
      <c r="G322" t="s">
        <v>9</v>
      </c>
    </row>
    <row r="323" spans="1:7" x14ac:dyDescent="0.25">
      <c r="A323" t="s">
        <v>384</v>
      </c>
      <c r="B323" t="s">
        <v>385</v>
      </c>
      <c r="C323">
        <v>4.7</v>
      </c>
      <c r="D323">
        <v>3477</v>
      </c>
      <c r="E323" s="10">
        <v>28</v>
      </c>
      <c r="F323">
        <v>2011</v>
      </c>
      <c r="G323" t="s">
        <v>9</v>
      </c>
    </row>
    <row r="324" spans="1:7" x14ac:dyDescent="0.25">
      <c r="A324" t="s">
        <v>384</v>
      </c>
      <c r="B324" t="s">
        <v>385</v>
      </c>
      <c r="C324">
        <v>4.7</v>
      </c>
      <c r="D324">
        <v>3477</v>
      </c>
      <c r="E324" s="10">
        <v>28</v>
      </c>
      <c r="F324">
        <v>2012</v>
      </c>
      <c r="G324" t="s">
        <v>9</v>
      </c>
    </row>
    <row r="325" spans="1:7" x14ac:dyDescent="0.25">
      <c r="A325" t="s">
        <v>384</v>
      </c>
      <c r="B325" t="s">
        <v>385</v>
      </c>
      <c r="C325">
        <v>4.7</v>
      </c>
      <c r="D325">
        <v>3477</v>
      </c>
      <c r="E325" s="10">
        <v>28</v>
      </c>
      <c r="F325">
        <v>2013</v>
      </c>
      <c r="G325" t="s">
        <v>9</v>
      </c>
    </row>
    <row r="326" spans="1:7" x14ac:dyDescent="0.25">
      <c r="A326" t="s">
        <v>384</v>
      </c>
      <c r="B326" t="s">
        <v>385</v>
      </c>
      <c r="C326">
        <v>4.7</v>
      </c>
      <c r="D326">
        <v>3477</v>
      </c>
      <c r="E326" s="10">
        <v>28</v>
      </c>
      <c r="F326">
        <v>2014</v>
      </c>
      <c r="G326" t="s">
        <v>9</v>
      </c>
    </row>
    <row r="327" spans="1:7" x14ac:dyDescent="0.25">
      <c r="A327" t="s">
        <v>386</v>
      </c>
      <c r="B327" t="s">
        <v>385</v>
      </c>
      <c r="C327">
        <v>4.8</v>
      </c>
      <c r="D327">
        <v>25554</v>
      </c>
      <c r="E327" s="10">
        <v>8</v>
      </c>
      <c r="F327">
        <v>2015</v>
      </c>
      <c r="G327" t="s">
        <v>9</v>
      </c>
    </row>
    <row r="328" spans="1:7" x14ac:dyDescent="0.25">
      <c r="A328" t="s">
        <v>386</v>
      </c>
      <c r="B328" t="s">
        <v>385</v>
      </c>
      <c r="C328">
        <v>4.8</v>
      </c>
      <c r="D328">
        <v>25554</v>
      </c>
      <c r="E328" s="10">
        <v>8</v>
      </c>
      <c r="F328">
        <v>2016</v>
      </c>
      <c r="G328" t="s">
        <v>9</v>
      </c>
    </row>
    <row r="329" spans="1:7" x14ac:dyDescent="0.25">
      <c r="A329" t="s">
        <v>386</v>
      </c>
      <c r="B329" t="s">
        <v>385</v>
      </c>
      <c r="C329">
        <v>4.8</v>
      </c>
      <c r="D329">
        <v>25554</v>
      </c>
      <c r="E329" s="10">
        <v>8</v>
      </c>
      <c r="F329">
        <v>2017</v>
      </c>
      <c r="G329" t="s">
        <v>9</v>
      </c>
    </row>
    <row r="330" spans="1:7" x14ac:dyDescent="0.25">
      <c r="A330" t="s">
        <v>386</v>
      </c>
      <c r="B330" t="s">
        <v>385</v>
      </c>
      <c r="C330">
        <v>4.8</v>
      </c>
      <c r="D330">
        <v>25554</v>
      </c>
      <c r="E330" s="10">
        <v>8</v>
      </c>
      <c r="F330">
        <v>2018</v>
      </c>
      <c r="G330" t="s">
        <v>9</v>
      </c>
    </row>
    <row r="331" spans="1:7" x14ac:dyDescent="0.25">
      <c r="A331" t="s">
        <v>386</v>
      </c>
      <c r="B331" t="s">
        <v>385</v>
      </c>
      <c r="C331">
        <v>4.8</v>
      </c>
      <c r="D331">
        <v>25554</v>
      </c>
      <c r="E331" s="10">
        <v>8</v>
      </c>
      <c r="F331">
        <v>2019</v>
      </c>
      <c r="G331" t="s">
        <v>9</v>
      </c>
    </row>
    <row r="332" spans="1:7" x14ac:dyDescent="0.25">
      <c r="A332" t="s">
        <v>387</v>
      </c>
      <c r="B332" t="s">
        <v>388</v>
      </c>
      <c r="C332">
        <v>4.8</v>
      </c>
      <c r="D332">
        <v>1680</v>
      </c>
      <c r="E332" s="10">
        <v>12</v>
      </c>
      <c r="F332">
        <v>2009</v>
      </c>
      <c r="G332" t="s">
        <v>9</v>
      </c>
    </row>
    <row r="333" spans="1:7" x14ac:dyDescent="0.25">
      <c r="A333" t="s">
        <v>389</v>
      </c>
      <c r="B333" t="s">
        <v>390</v>
      </c>
      <c r="C333">
        <v>4.5999999999999996</v>
      </c>
      <c r="D333">
        <v>9325</v>
      </c>
      <c r="E333" s="10">
        <v>24</v>
      </c>
      <c r="F333">
        <v>2009</v>
      </c>
      <c r="G333" t="s">
        <v>9</v>
      </c>
    </row>
    <row r="334" spans="1:7" x14ac:dyDescent="0.25">
      <c r="A334" t="s">
        <v>389</v>
      </c>
      <c r="B334" t="s">
        <v>390</v>
      </c>
      <c r="C334">
        <v>4.5999999999999996</v>
      </c>
      <c r="D334">
        <v>9325</v>
      </c>
      <c r="E334" s="10">
        <v>24</v>
      </c>
      <c r="F334">
        <v>2011</v>
      </c>
      <c r="G334" t="s">
        <v>9</v>
      </c>
    </row>
    <row r="335" spans="1:7" x14ac:dyDescent="0.25">
      <c r="A335" t="s">
        <v>389</v>
      </c>
      <c r="B335" t="s">
        <v>390</v>
      </c>
      <c r="C335">
        <v>4.5999999999999996</v>
      </c>
      <c r="D335">
        <v>9325</v>
      </c>
      <c r="E335" s="10">
        <v>24</v>
      </c>
      <c r="F335">
        <v>2012</v>
      </c>
      <c r="G335" t="s">
        <v>9</v>
      </c>
    </row>
    <row r="336" spans="1:7" x14ac:dyDescent="0.25">
      <c r="A336" t="s">
        <v>389</v>
      </c>
      <c r="B336" t="s">
        <v>390</v>
      </c>
      <c r="C336">
        <v>4.5999999999999996</v>
      </c>
      <c r="D336">
        <v>9325</v>
      </c>
      <c r="E336" s="10">
        <v>24</v>
      </c>
      <c r="F336">
        <v>2013</v>
      </c>
      <c r="G336" t="s">
        <v>9</v>
      </c>
    </row>
    <row r="337" spans="1:7" x14ac:dyDescent="0.25">
      <c r="A337" t="s">
        <v>389</v>
      </c>
      <c r="B337" t="s">
        <v>390</v>
      </c>
      <c r="C337">
        <v>4.7</v>
      </c>
      <c r="D337">
        <v>4725</v>
      </c>
      <c r="E337" s="10">
        <v>16</v>
      </c>
      <c r="F337">
        <v>2015</v>
      </c>
      <c r="G337" t="s">
        <v>9</v>
      </c>
    </row>
    <row r="338" spans="1:7" x14ac:dyDescent="0.25">
      <c r="A338" t="s">
        <v>389</v>
      </c>
      <c r="B338" t="s">
        <v>390</v>
      </c>
      <c r="C338">
        <v>4.7</v>
      </c>
      <c r="D338">
        <v>4725</v>
      </c>
      <c r="E338" s="10">
        <v>16</v>
      </c>
      <c r="F338">
        <v>2016</v>
      </c>
      <c r="G338" t="s">
        <v>9</v>
      </c>
    </row>
    <row r="339" spans="1:7" x14ac:dyDescent="0.25">
      <c r="A339" t="s">
        <v>389</v>
      </c>
      <c r="B339" t="s">
        <v>390</v>
      </c>
      <c r="C339">
        <v>4.7</v>
      </c>
      <c r="D339">
        <v>4725</v>
      </c>
      <c r="E339" s="10">
        <v>16</v>
      </c>
      <c r="F339">
        <v>2017</v>
      </c>
      <c r="G339" t="s">
        <v>9</v>
      </c>
    </row>
    <row r="340" spans="1:7" x14ac:dyDescent="0.25">
      <c r="A340" t="s">
        <v>391</v>
      </c>
      <c r="B340" t="s">
        <v>392</v>
      </c>
      <c r="C340">
        <v>4.7</v>
      </c>
      <c r="D340">
        <v>35799</v>
      </c>
      <c r="E340" s="10">
        <v>39</v>
      </c>
      <c r="F340">
        <v>2014</v>
      </c>
      <c r="G340" t="s">
        <v>12</v>
      </c>
    </row>
    <row r="341" spans="1:7" x14ac:dyDescent="0.25">
      <c r="A341" t="s">
        <v>393</v>
      </c>
      <c r="B341" t="s">
        <v>394</v>
      </c>
      <c r="C341">
        <v>4.5999999999999996</v>
      </c>
      <c r="D341">
        <v>2580</v>
      </c>
      <c r="E341" s="10">
        <v>9</v>
      </c>
      <c r="F341">
        <v>2012</v>
      </c>
      <c r="G341" t="s">
        <v>9</v>
      </c>
    </row>
    <row r="342" spans="1:7" x14ac:dyDescent="0.25">
      <c r="A342" t="s">
        <v>395</v>
      </c>
      <c r="B342" t="s">
        <v>396</v>
      </c>
      <c r="C342">
        <v>4.7</v>
      </c>
      <c r="D342">
        <v>11813</v>
      </c>
      <c r="E342" s="10">
        <v>10</v>
      </c>
      <c r="F342">
        <v>2010</v>
      </c>
      <c r="G342" t="s">
        <v>12</v>
      </c>
    </row>
    <row r="343" spans="1:7" x14ac:dyDescent="0.25">
      <c r="A343" t="s">
        <v>395</v>
      </c>
      <c r="B343" t="s">
        <v>396</v>
      </c>
      <c r="C343">
        <v>4.7</v>
      </c>
      <c r="D343">
        <v>11813</v>
      </c>
      <c r="E343" s="10">
        <v>10</v>
      </c>
      <c r="F343">
        <v>2011</v>
      </c>
      <c r="G343" t="s">
        <v>12</v>
      </c>
    </row>
    <row r="344" spans="1:7" x14ac:dyDescent="0.25">
      <c r="A344" t="s">
        <v>397</v>
      </c>
      <c r="B344" t="s">
        <v>398</v>
      </c>
      <c r="C344">
        <v>4.7</v>
      </c>
      <c r="D344">
        <v>3536</v>
      </c>
      <c r="E344" s="10">
        <v>17</v>
      </c>
      <c r="F344">
        <v>2010</v>
      </c>
      <c r="G344" t="s">
        <v>9</v>
      </c>
    </row>
    <row r="345" spans="1:7" x14ac:dyDescent="0.25">
      <c r="A345" t="s">
        <v>399</v>
      </c>
      <c r="B345" t="s">
        <v>333</v>
      </c>
      <c r="C345">
        <v>4.8</v>
      </c>
      <c r="D345">
        <v>6600</v>
      </c>
      <c r="E345" s="10">
        <v>11</v>
      </c>
      <c r="F345">
        <v>2014</v>
      </c>
      <c r="G345" t="s">
        <v>12</v>
      </c>
    </row>
    <row r="346" spans="1:7" x14ac:dyDescent="0.25">
      <c r="A346" t="s">
        <v>400</v>
      </c>
      <c r="B346" t="s">
        <v>401</v>
      </c>
      <c r="C346">
        <v>4.2</v>
      </c>
      <c r="D346">
        <v>1789</v>
      </c>
      <c r="E346" s="10">
        <v>14</v>
      </c>
      <c r="F346">
        <v>2012</v>
      </c>
      <c r="G346" t="s">
        <v>9</v>
      </c>
    </row>
    <row r="347" spans="1:7" x14ac:dyDescent="0.25">
      <c r="A347" t="s">
        <v>402</v>
      </c>
      <c r="B347" t="s">
        <v>403</v>
      </c>
      <c r="C347">
        <v>4.8</v>
      </c>
      <c r="D347">
        <v>12361</v>
      </c>
      <c r="E347" s="10">
        <v>12</v>
      </c>
      <c r="F347">
        <v>2019</v>
      </c>
      <c r="G347" t="s">
        <v>9</v>
      </c>
    </row>
    <row r="348" spans="1:7" x14ac:dyDescent="0.25">
      <c r="A348" t="s">
        <v>404</v>
      </c>
      <c r="B348" t="s">
        <v>405</v>
      </c>
      <c r="C348">
        <v>4.7</v>
      </c>
      <c r="D348">
        <v>858</v>
      </c>
      <c r="E348" s="10">
        <v>53</v>
      </c>
      <c r="F348">
        <v>2009</v>
      </c>
      <c r="G348" t="s">
        <v>9</v>
      </c>
    </row>
    <row r="349" spans="1:7" x14ac:dyDescent="0.25">
      <c r="A349" t="s">
        <v>406</v>
      </c>
      <c r="B349" t="s">
        <v>407</v>
      </c>
      <c r="C349">
        <v>4.5999999999999996</v>
      </c>
      <c r="D349">
        <v>23148</v>
      </c>
      <c r="E349" s="10">
        <v>6</v>
      </c>
      <c r="F349">
        <v>2013</v>
      </c>
      <c r="G349" t="s">
        <v>12</v>
      </c>
    </row>
    <row r="350" spans="1:7" x14ac:dyDescent="0.25">
      <c r="A350" t="s">
        <v>406</v>
      </c>
      <c r="B350" t="s">
        <v>407</v>
      </c>
      <c r="C350">
        <v>4.5999999999999996</v>
      </c>
      <c r="D350">
        <v>23148</v>
      </c>
      <c r="E350" s="10">
        <v>6</v>
      </c>
      <c r="F350">
        <v>2014</v>
      </c>
      <c r="G350" t="s">
        <v>12</v>
      </c>
    </row>
    <row r="351" spans="1:7" x14ac:dyDescent="0.25">
      <c r="A351" t="s">
        <v>408</v>
      </c>
      <c r="B351" t="s">
        <v>409</v>
      </c>
      <c r="C351">
        <v>4.8</v>
      </c>
      <c r="D351">
        <v>8081</v>
      </c>
      <c r="E351" s="10">
        <v>8</v>
      </c>
      <c r="F351">
        <v>2014</v>
      </c>
      <c r="G351" t="s">
        <v>12</v>
      </c>
    </row>
    <row r="352" spans="1:7" x14ac:dyDescent="0.25">
      <c r="A352" t="s">
        <v>408</v>
      </c>
      <c r="B352" t="s">
        <v>409</v>
      </c>
      <c r="C352">
        <v>4.8</v>
      </c>
      <c r="D352">
        <v>8081</v>
      </c>
      <c r="E352" s="10">
        <v>8</v>
      </c>
      <c r="F352">
        <v>2015</v>
      </c>
      <c r="G352" t="s">
        <v>12</v>
      </c>
    </row>
    <row r="353" spans="1:7" x14ac:dyDescent="0.25">
      <c r="A353" t="s">
        <v>410</v>
      </c>
      <c r="B353" t="s">
        <v>411</v>
      </c>
      <c r="C353">
        <v>4.8</v>
      </c>
      <c r="D353">
        <v>23358</v>
      </c>
      <c r="E353" s="10">
        <v>12</v>
      </c>
      <c r="F353">
        <v>2014</v>
      </c>
      <c r="G353" t="s">
        <v>9</v>
      </c>
    </row>
    <row r="354" spans="1:7" x14ac:dyDescent="0.25">
      <c r="A354" t="s">
        <v>410</v>
      </c>
      <c r="B354" t="s">
        <v>411</v>
      </c>
      <c r="C354">
        <v>4.8</v>
      </c>
      <c r="D354">
        <v>23358</v>
      </c>
      <c r="E354" s="10">
        <v>12</v>
      </c>
      <c r="F354">
        <v>2015</v>
      </c>
      <c r="G354" t="s">
        <v>9</v>
      </c>
    </row>
    <row r="355" spans="1:7" x14ac:dyDescent="0.25">
      <c r="A355" t="s">
        <v>412</v>
      </c>
      <c r="B355" t="s">
        <v>153</v>
      </c>
      <c r="C355">
        <v>3.3</v>
      </c>
      <c r="D355">
        <v>9372</v>
      </c>
      <c r="E355" s="10">
        <v>12</v>
      </c>
      <c r="F355">
        <v>2012</v>
      </c>
      <c r="G355" t="s">
        <v>12</v>
      </c>
    </row>
    <row r="356" spans="1:7" x14ac:dyDescent="0.25">
      <c r="A356" t="s">
        <v>413</v>
      </c>
      <c r="B356" t="s">
        <v>414</v>
      </c>
      <c r="C356">
        <v>4.7</v>
      </c>
      <c r="D356">
        <v>4633</v>
      </c>
      <c r="E356" s="10">
        <v>21</v>
      </c>
      <c r="F356">
        <v>2011</v>
      </c>
      <c r="G356" t="s">
        <v>9</v>
      </c>
    </row>
    <row r="357" spans="1:7" x14ac:dyDescent="0.25">
      <c r="A357" t="s">
        <v>415</v>
      </c>
      <c r="B357" t="s">
        <v>416</v>
      </c>
      <c r="C357">
        <v>4.3</v>
      </c>
      <c r="D357">
        <v>13061</v>
      </c>
      <c r="E357" s="10">
        <v>6</v>
      </c>
      <c r="F357">
        <v>2018</v>
      </c>
      <c r="G357" t="s">
        <v>9</v>
      </c>
    </row>
    <row r="358" spans="1:7" x14ac:dyDescent="0.25">
      <c r="A358" t="s">
        <v>415</v>
      </c>
      <c r="B358" t="s">
        <v>416</v>
      </c>
      <c r="C358">
        <v>4.3</v>
      </c>
      <c r="D358">
        <v>13061</v>
      </c>
      <c r="E358" s="10">
        <v>6</v>
      </c>
      <c r="F358">
        <v>2019</v>
      </c>
      <c r="G358" t="s">
        <v>9</v>
      </c>
    </row>
    <row r="359" spans="1:7" x14ac:dyDescent="0.25">
      <c r="A359" t="s">
        <v>417</v>
      </c>
      <c r="B359" t="s">
        <v>377</v>
      </c>
      <c r="C359">
        <v>4.3</v>
      </c>
      <c r="D359">
        <v>3523</v>
      </c>
      <c r="E359" s="10">
        <v>13</v>
      </c>
      <c r="F359">
        <v>2010</v>
      </c>
      <c r="G359" t="s">
        <v>12</v>
      </c>
    </row>
    <row r="360" spans="1:7" x14ac:dyDescent="0.25">
      <c r="A360" t="s">
        <v>418</v>
      </c>
      <c r="B360" t="s">
        <v>419</v>
      </c>
      <c r="C360">
        <v>4.8</v>
      </c>
      <c r="D360">
        <v>2774</v>
      </c>
      <c r="E360" s="10">
        <v>0</v>
      </c>
      <c r="F360">
        <v>2016</v>
      </c>
      <c r="G360" t="s">
        <v>9</v>
      </c>
    </row>
    <row r="361" spans="1:7" x14ac:dyDescent="0.25">
      <c r="A361" t="s">
        <v>420</v>
      </c>
      <c r="B361" t="s">
        <v>421</v>
      </c>
      <c r="C361">
        <v>4.4000000000000004</v>
      </c>
      <c r="D361">
        <v>440</v>
      </c>
      <c r="E361" s="10">
        <v>11</v>
      </c>
      <c r="F361">
        <v>2010</v>
      </c>
      <c r="G361" t="s">
        <v>9</v>
      </c>
    </row>
    <row r="362" spans="1:7" x14ac:dyDescent="0.25">
      <c r="A362" t="s">
        <v>422</v>
      </c>
      <c r="B362" t="s">
        <v>423</v>
      </c>
      <c r="C362">
        <v>4.8</v>
      </c>
      <c r="D362">
        <v>8922</v>
      </c>
      <c r="E362" s="10">
        <v>9</v>
      </c>
      <c r="F362">
        <v>2013</v>
      </c>
      <c r="G362" t="s">
        <v>12</v>
      </c>
    </row>
    <row r="363" spans="1:7" x14ac:dyDescent="0.25">
      <c r="A363" t="s">
        <v>422</v>
      </c>
      <c r="B363" t="s">
        <v>423</v>
      </c>
      <c r="C363">
        <v>4.8</v>
      </c>
      <c r="D363">
        <v>8922</v>
      </c>
      <c r="E363" s="10">
        <v>9</v>
      </c>
      <c r="F363">
        <v>2014</v>
      </c>
      <c r="G363" t="s">
        <v>12</v>
      </c>
    </row>
    <row r="364" spans="1:7" x14ac:dyDescent="0.25">
      <c r="A364" t="s">
        <v>422</v>
      </c>
      <c r="B364" t="s">
        <v>423</v>
      </c>
      <c r="C364">
        <v>4.8</v>
      </c>
      <c r="D364">
        <v>8922</v>
      </c>
      <c r="E364" s="10">
        <v>9</v>
      </c>
      <c r="F364">
        <v>2015</v>
      </c>
      <c r="G364" t="s">
        <v>12</v>
      </c>
    </row>
    <row r="365" spans="1:7" x14ac:dyDescent="0.25">
      <c r="A365" t="s">
        <v>424</v>
      </c>
      <c r="B365" t="s">
        <v>425</v>
      </c>
      <c r="C365">
        <v>4.0999999999999996</v>
      </c>
      <c r="D365">
        <v>2023</v>
      </c>
      <c r="E365" s="10">
        <v>15</v>
      </c>
      <c r="F365">
        <v>2011</v>
      </c>
      <c r="G365" t="s">
        <v>9</v>
      </c>
    </row>
    <row r="366" spans="1:7" x14ac:dyDescent="0.25">
      <c r="A366" t="s">
        <v>426</v>
      </c>
      <c r="B366" t="s">
        <v>427</v>
      </c>
      <c r="C366">
        <v>4</v>
      </c>
      <c r="D366">
        <v>1859</v>
      </c>
      <c r="E366" s="10">
        <v>11</v>
      </c>
      <c r="F366">
        <v>2009</v>
      </c>
      <c r="G366" t="s">
        <v>12</v>
      </c>
    </row>
    <row r="367" spans="1:7" x14ac:dyDescent="0.25">
      <c r="A367" t="s">
        <v>428</v>
      </c>
      <c r="B367" t="s">
        <v>289</v>
      </c>
      <c r="C367">
        <v>4.7</v>
      </c>
      <c r="D367">
        <v>50482</v>
      </c>
      <c r="E367" s="10">
        <v>13</v>
      </c>
      <c r="F367">
        <v>2012</v>
      </c>
      <c r="G367" t="s">
        <v>12</v>
      </c>
    </row>
    <row r="368" spans="1:7" x14ac:dyDescent="0.25">
      <c r="A368" t="s">
        <v>428</v>
      </c>
      <c r="B368" t="s">
        <v>289</v>
      </c>
      <c r="C368">
        <v>4.7</v>
      </c>
      <c r="D368">
        <v>50482</v>
      </c>
      <c r="E368" s="10">
        <v>13</v>
      </c>
      <c r="F368">
        <v>2013</v>
      </c>
      <c r="G368" t="s">
        <v>12</v>
      </c>
    </row>
    <row r="369" spans="1:7" x14ac:dyDescent="0.25">
      <c r="A369" t="s">
        <v>428</v>
      </c>
      <c r="B369" t="s">
        <v>289</v>
      </c>
      <c r="C369">
        <v>4.7</v>
      </c>
      <c r="D369">
        <v>50482</v>
      </c>
      <c r="E369" s="10">
        <v>7</v>
      </c>
      <c r="F369">
        <v>2014</v>
      </c>
      <c r="G369" t="s">
        <v>12</v>
      </c>
    </row>
    <row r="370" spans="1:7" x14ac:dyDescent="0.25">
      <c r="A370" t="s">
        <v>428</v>
      </c>
      <c r="B370" t="s">
        <v>289</v>
      </c>
      <c r="C370">
        <v>4.7</v>
      </c>
      <c r="D370">
        <v>50482</v>
      </c>
      <c r="E370" s="10">
        <v>13</v>
      </c>
      <c r="F370">
        <v>2014</v>
      </c>
      <c r="G370" t="s">
        <v>12</v>
      </c>
    </row>
    <row r="371" spans="1:7" x14ac:dyDescent="0.25">
      <c r="A371" t="s">
        <v>429</v>
      </c>
      <c r="B371" t="s">
        <v>430</v>
      </c>
      <c r="C371">
        <v>4.5999999999999996</v>
      </c>
      <c r="D371">
        <v>3207</v>
      </c>
      <c r="E371" s="10">
        <v>6</v>
      </c>
      <c r="F371">
        <v>2009</v>
      </c>
      <c r="G371" t="s">
        <v>9</v>
      </c>
    </row>
    <row r="372" spans="1:7" x14ac:dyDescent="0.25">
      <c r="A372" t="s">
        <v>429</v>
      </c>
      <c r="B372" t="s">
        <v>430</v>
      </c>
      <c r="C372">
        <v>4.5999999999999996</v>
      </c>
      <c r="D372">
        <v>3207</v>
      </c>
      <c r="E372" s="10">
        <v>6</v>
      </c>
      <c r="F372">
        <v>2010</v>
      </c>
      <c r="G372" t="s">
        <v>9</v>
      </c>
    </row>
    <row r="373" spans="1:7" x14ac:dyDescent="0.25">
      <c r="A373" t="s">
        <v>429</v>
      </c>
      <c r="B373" t="s">
        <v>430</v>
      </c>
      <c r="C373">
        <v>4.5999999999999996</v>
      </c>
      <c r="D373">
        <v>3207</v>
      </c>
      <c r="E373" s="10">
        <v>6</v>
      </c>
      <c r="F373">
        <v>2011</v>
      </c>
      <c r="G373" t="s">
        <v>9</v>
      </c>
    </row>
    <row r="374" spans="1:7" x14ac:dyDescent="0.25">
      <c r="A374" t="s">
        <v>429</v>
      </c>
      <c r="B374" t="s">
        <v>430</v>
      </c>
      <c r="C374">
        <v>4.5999999999999996</v>
      </c>
      <c r="D374">
        <v>3207</v>
      </c>
      <c r="E374" s="10">
        <v>6</v>
      </c>
      <c r="F374">
        <v>2012</v>
      </c>
      <c r="G374" t="s">
        <v>9</v>
      </c>
    </row>
    <row r="375" spans="1:7" x14ac:dyDescent="0.25">
      <c r="A375" t="s">
        <v>429</v>
      </c>
      <c r="B375" t="s">
        <v>430</v>
      </c>
      <c r="C375">
        <v>4.5999999999999996</v>
      </c>
      <c r="D375">
        <v>3207</v>
      </c>
      <c r="E375" s="10">
        <v>6</v>
      </c>
      <c r="F375">
        <v>2013</v>
      </c>
      <c r="G375" t="s">
        <v>9</v>
      </c>
    </row>
    <row r="376" spans="1:7" x14ac:dyDescent="0.25">
      <c r="A376" t="s">
        <v>431</v>
      </c>
      <c r="B376" t="s">
        <v>385</v>
      </c>
      <c r="C376">
        <v>4.5999999999999996</v>
      </c>
      <c r="D376">
        <v>803</v>
      </c>
      <c r="E376" s="10">
        <v>9</v>
      </c>
      <c r="F376">
        <v>2009</v>
      </c>
      <c r="G376" t="s">
        <v>9</v>
      </c>
    </row>
    <row r="377" spans="1:7" x14ac:dyDescent="0.25">
      <c r="A377" t="s">
        <v>432</v>
      </c>
      <c r="B377" t="s">
        <v>433</v>
      </c>
      <c r="C377">
        <v>4.7</v>
      </c>
      <c r="D377">
        <v>23308</v>
      </c>
      <c r="E377" s="10">
        <v>6</v>
      </c>
      <c r="F377">
        <v>2013</v>
      </c>
      <c r="G377" t="s">
        <v>9</v>
      </c>
    </row>
    <row r="378" spans="1:7" x14ac:dyDescent="0.25">
      <c r="A378" t="s">
        <v>432</v>
      </c>
      <c r="B378" t="s">
        <v>433</v>
      </c>
      <c r="C378">
        <v>4.7</v>
      </c>
      <c r="D378">
        <v>23308</v>
      </c>
      <c r="E378" s="10">
        <v>6</v>
      </c>
      <c r="F378">
        <v>2015</v>
      </c>
      <c r="G378" t="s">
        <v>9</v>
      </c>
    </row>
    <row r="379" spans="1:7" x14ac:dyDescent="0.25">
      <c r="A379" t="s">
        <v>432</v>
      </c>
      <c r="B379" t="s">
        <v>433</v>
      </c>
      <c r="C379">
        <v>4.7</v>
      </c>
      <c r="D379">
        <v>23308</v>
      </c>
      <c r="E379" s="10">
        <v>6</v>
      </c>
      <c r="F379">
        <v>2016</v>
      </c>
      <c r="G379" t="s">
        <v>9</v>
      </c>
    </row>
    <row r="380" spans="1:7" x14ac:dyDescent="0.25">
      <c r="A380" t="s">
        <v>432</v>
      </c>
      <c r="B380" t="s">
        <v>433</v>
      </c>
      <c r="C380">
        <v>4.7</v>
      </c>
      <c r="D380">
        <v>23308</v>
      </c>
      <c r="E380" s="10">
        <v>6</v>
      </c>
      <c r="F380">
        <v>2017</v>
      </c>
      <c r="G380" t="s">
        <v>9</v>
      </c>
    </row>
    <row r="381" spans="1:7" x14ac:dyDescent="0.25">
      <c r="A381" t="s">
        <v>432</v>
      </c>
      <c r="B381" t="s">
        <v>433</v>
      </c>
      <c r="C381">
        <v>4.7</v>
      </c>
      <c r="D381">
        <v>23308</v>
      </c>
      <c r="E381" s="10">
        <v>6</v>
      </c>
      <c r="F381">
        <v>2018</v>
      </c>
      <c r="G381" t="s">
        <v>9</v>
      </c>
    </row>
    <row r="382" spans="1:7" x14ac:dyDescent="0.25">
      <c r="A382" t="s">
        <v>432</v>
      </c>
      <c r="B382" t="s">
        <v>433</v>
      </c>
      <c r="C382">
        <v>4.7</v>
      </c>
      <c r="D382">
        <v>23308</v>
      </c>
      <c r="E382" s="10">
        <v>6</v>
      </c>
      <c r="F382">
        <v>2019</v>
      </c>
      <c r="G382" t="s">
        <v>9</v>
      </c>
    </row>
    <row r="383" spans="1:7" x14ac:dyDescent="0.25">
      <c r="A383" t="s">
        <v>434</v>
      </c>
      <c r="B383" t="s">
        <v>80</v>
      </c>
      <c r="C383">
        <v>4.8</v>
      </c>
      <c r="D383">
        <v>5836</v>
      </c>
      <c r="E383" s="10">
        <v>0</v>
      </c>
      <c r="F383">
        <v>2017</v>
      </c>
      <c r="G383" t="s">
        <v>12</v>
      </c>
    </row>
    <row r="384" spans="1:7" x14ac:dyDescent="0.25">
      <c r="A384" t="s">
        <v>435</v>
      </c>
      <c r="B384" t="s">
        <v>436</v>
      </c>
      <c r="C384">
        <v>4.0999999999999996</v>
      </c>
      <c r="D384">
        <v>79446</v>
      </c>
      <c r="E384" s="10">
        <v>18</v>
      </c>
      <c r="F384">
        <v>2015</v>
      </c>
      <c r="G384" t="s">
        <v>12</v>
      </c>
    </row>
    <row r="385" spans="1:7" x14ac:dyDescent="0.25">
      <c r="A385" t="s">
        <v>435</v>
      </c>
      <c r="B385" t="s">
        <v>436</v>
      </c>
      <c r="C385">
        <v>4.0999999999999996</v>
      </c>
      <c r="D385">
        <v>79446</v>
      </c>
      <c r="E385" s="10">
        <v>7</v>
      </c>
      <c r="F385">
        <v>2016</v>
      </c>
      <c r="G385" t="s">
        <v>12</v>
      </c>
    </row>
    <row r="386" spans="1:7" x14ac:dyDescent="0.25">
      <c r="A386" t="s">
        <v>437</v>
      </c>
      <c r="B386" t="s">
        <v>438</v>
      </c>
      <c r="C386">
        <v>4.7</v>
      </c>
      <c r="D386">
        <v>7747</v>
      </c>
      <c r="E386" s="10">
        <v>14</v>
      </c>
      <c r="F386">
        <v>2010</v>
      </c>
      <c r="G386" t="s">
        <v>12</v>
      </c>
    </row>
    <row r="387" spans="1:7" x14ac:dyDescent="0.25">
      <c r="A387" t="s">
        <v>437</v>
      </c>
      <c r="B387" t="s">
        <v>438</v>
      </c>
      <c r="C387">
        <v>4.7</v>
      </c>
      <c r="D387">
        <v>7747</v>
      </c>
      <c r="E387" s="10">
        <v>14</v>
      </c>
      <c r="F387">
        <v>2011</v>
      </c>
      <c r="G387" t="s">
        <v>12</v>
      </c>
    </row>
    <row r="388" spans="1:7" x14ac:dyDescent="0.25">
      <c r="A388" t="s">
        <v>439</v>
      </c>
      <c r="B388" t="s">
        <v>438</v>
      </c>
      <c r="C388">
        <v>4.7</v>
      </c>
      <c r="D388">
        <v>7251</v>
      </c>
      <c r="E388" s="10">
        <v>9</v>
      </c>
      <c r="F388">
        <v>2010</v>
      </c>
      <c r="G388" t="s">
        <v>12</v>
      </c>
    </row>
    <row r="389" spans="1:7" x14ac:dyDescent="0.25">
      <c r="A389" t="s">
        <v>440</v>
      </c>
      <c r="B389" t="s">
        <v>438</v>
      </c>
      <c r="C389">
        <v>4.7</v>
      </c>
      <c r="D389">
        <v>7251</v>
      </c>
      <c r="E389" s="10">
        <v>16</v>
      </c>
      <c r="F389">
        <v>2009</v>
      </c>
      <c r="G389" t="s">
        <v>12</v>
      </c>
    </row>
    <row r="390" spans="1:7" x14ac:dyDescent="0.25">
      <c r="A390" t="s">
        <v>441</v>
      </c>
      <c r="B390" t="s">
        <v>438</v>
      </c>
      <c r="C390">
        <v>4.4000000000000004</v>
      </c>
      <c r="D390">
        <v>10559</v>
      </c>
      <c r="E390" s="10">
        <v>2</v>
      </c>
      <c r="F390">
        <v>2009</v>
      </c>
      <c r="G390" t="s">
        <v>12</v>
      </c>
    </row>
    <row r="391" spans="1:7" x14ac:dyDescent="0.25">
      <c r="A391" t="s">
        <v>441</v>
      </c>
      <c r="B391" t="s">
        <v>438</v>
      </c>
      <c r="C391">
        <v>4.4000000000000004</v>
      </c>
      <c r="D391">
        <v>10559</v>
      </c>
      <c r="E391" s="10">
        <v>2</v>
      </c>
      <c r="F391">
        <v>2010</v>
      </c>
      <c r="G391" t="s">
        <v>12</v>
      </c>
    </row>
    <row r="392" spans="1:7" x14ac:dyDescent="0.25">
      <c r="A392" t="s">
        <v>442</v>
      </c>
      <c r="B392" t="s">
        <v>443</v>
      </c>
      <c r="C392">
        <v>4.8</v>
      </c>
      <c r="D392">
        <v>5249</v>
      </c>
      <c r="E392" s="10">
        <v>5</v>
      </c>
      <c r="F392">
        <v>2016</v>
      </c>
      <c r="G392" t="s">
        <v>12</v>
      </c>
    </row>
    <row r="393" spans="1:7" x14ac:dyDescent="0.25">
      <c r="A393" t="s">
        <v>442</v>
      </c>
      <c r="B393" t="s">
        <v>443</v>
      </c>
      <c r="C393">
        <v>4.8</v>
      </c>
      <c r="D393">
        <v>5249</v>
      </c>
      <c r="E393" s="10">
        <v>5</v>
      </c>
      <c r="F393">
        <v>2017</v>
      </c>
      <c r="G393" t="s">
        <v>12</v>
      </c>
    </row>
    <row r="394" spans="1:7" x14ac:dyDescent="0.25">
      <c r="A394" t="s">
        <v>444</v>
      </c>
      <c r="B394" t="s">
        <v>445</v>
      </c>
      <c r="C394">
        <v>3.9</v>
      </c>
      <c r="D394">
        <v>33844</v>
      </c>
      <c r="E394" s="10">
        <v>20</v>
      </c>
      <c r="F394">
        <v>2013</v>
      </c>
      <c r="G394" t="s">
        <v>12</v>
      </c>
    </row>
    <row r="395" spans="1:7" x14ac:dyDescent="0.25">
      <c r="A395" t="s">
        <v>444</v>
      </c>
      <c r="B395" t="s">
        <v>445</v>
      </c>
      <c r="C395">
        <v>3.9</v>
      </c>
      <c r="D395">
        <v>33844</v>
      </c>
      <c r="E395" s="10">
        <v>20</v>
      </c>
      <c r="F395">
        <v>2014</v>
      </c>
      <c r="G395" t="s">
        <v>12</v>
      </c>
    </row>
    <row r="396" spans="1:7" x14ac:dyDescent="0.25">
      <c r="A396" t="s">
        <v>446</v>
      </c>
      <c r="B396" t="s">
        <v>447</v>
      </c>
      <c r="C396">
        <v>4.4000000000000004</v>
      </c>
      <c r="D396">
        <v>11616</v>
      </c>
      <c r="E396" s="10">
        <v>7</v>
      </c>
      <c r="F396">
        <v>2012</v>
      </c>
      <c r="G396" t="s">
        <v>12</v>
      </c>
    </row>
    <row r="397" spans="1:7" x14ac:dyDescent="0.25">
      <c r="A397" t="s">
        <v>446</v>
      </c>
      <c r="B397" t="s">
        <v>447</v>
      </c>
      <c r="C397">
        <v>4.4000000000000004</v>
      </c>
      <c r="D397">
        <v>11616</v>
      </c>
      <c r="E397" s="10">
        <v>7</v>
      </c>
      <c r="F397">
        <v>2013</v>
      </c>
      <c r="G397" t="s">
        <v>12</v>
      </c>
    </row>
    <row r="398" spans="1:7" x14ac:dyDescent="0.25">
      <c r="A398" t="s">
        <v>446</v>
      </c>
      <c r="B398" t="s">
        <v>447</v>
      </c>
      <c r="C398">
        <v>4.4000000000000004</v>
      </c>
      <c r="D398">
        <v>11616</v>
      </c>
      <c r="E398" s="10">
        <v>7</v>
      </c>
      <c r="F398">
        <v>2014</v>
      </c>
      <c r="G398" t="s">
        <v>12</v>
      </c>
    </row>
    <row r="399" spans="1:7" x14ac:dyDescent="0.25">
      <c r="A399" t="s">
        <v>448</v>
      </c>
      <c r="B399" t="s">
        <v>377</v>
      </c>
      <c r="C399">
        <v>4.5</v>
      </c>
      <c r="D399">
        <v>13609</v>
      </c>
      <c r="E399" s="10">
        <v>14</v>
      </c>
      <c r="F399">
        <v>2019</v>
      </c>
      <c r="G399" t="s">
        <v>12</v>
      </c>
    </row>
    <row r="400" spans="1:7" x14ac:dyDescent="0.25">
      <c r="A400" t="s">
        <v>449</v>
      </c>
      <c r="B400" t="s">
        <v>450</v>
      </c>
      <c r="C400">
        <v>4.7</v>
      </c>
      <c r="D400">
        <v>8587</v>
      </c>
      <c r="E400" s="10">
        <v>10</v>
      </c>
      <c r="F400">
        <v>2009</v>
      </c>
      <c r="G400" t="s">
        <v>12</v>
      </c>
    </row>
    <row r="401" spans="1:7" x14ac:dyDescent="0.25">
      <c r="A401" t="s">
        <v>451</v>
      </c>
      <c r="B401" t="s">
        <v>452</v>
      </c>
      <c r="C401">
        <v>4.3</v>
      </c>
      <c r="D401">
        <v>29442</v>
      </c>
      <c r="E401" s="10">
        <v>7</v>
      </c>
      <c r="F401">
        <v>2017</v>
      </c>
      <c r="G401" t="s">
        <v>12</v>
      </c>
    </row>
    <row r="402" spans="1:7" x14ac:dyDescent="0.25">
      <c r="A402" t="s">
        <v>453</v>
      </c>
      <c r="B402" t="s">
        <v>454</v>
      </c>
      <c r="C402">
        <v>4.5999999999999996</v>
      </c>
      <c r="D402">
        <v>11098</v>
      </c>
      <c r="E402" s="10">
        <v>13</v>
      </c>
      <c r="F402">
        <v>2012</v>
      </c>
      <c r="G402" t="s">
        <v>12</v>
      </c>
    </row>
    <row r="403" spans="1:7" x14ac:dyDescent="0.25">
      <c r="A403" t="s">
        <v>455</v>
      </c>
      <c r="B403" t="s">
        <v>456</v>
      </c>
      <c r="C403">
        <v>4.8</v>
      </c>
      <c r="D403">
        <v>9947</v>
      </c>
      <c r="E403" s="10">
        <v>11</v>
      </c>
      <c r="F403">
        <v>2018</v>
      </c>
      <c r="G403" t="s">
        <v>12</v>
      </c>
    </row>
    <row r="404" spans="1:7" x14ac:dyDescent="0.25">
      <c r="A404" t="s">
        <v>457</v>
      </c>
      <c r="B404" t="s">
        <v>458</v>
      </c>
      <c r="C404">
        <v>4.8</v>
      </c>
      <c r="D404">
        <v>13871</v>
      </c>
      <c r="E404" s="10">
        <v>6</v>
      </c>
      <c r="F404">
        <v>2009</v>
      </c>
      <c r="G404" t="s">
        <v>12</v>
      </c>
    </row>
    <row r="405" spans="1:7" x14ac:dyDescent="0.25">
      <c r="A405" t="s">
        <v>457</v>
      </c>
      <c r="B405" t="s">
        <v>458</v>
      </c>
      <c r="C405">
        <v>4.8</v>
      </c>
      <c r="D405">
        <v>13871</v>
      </c>
      <c r="E405" s="10">
        <v>6</v>
      </c>
      <c r="F405">
        <v>2010</v>
      </c>
      <c r="G405" t="s">
        <v>12</v>
      </c>
    </row>
    <row r="406" spans="1:7" x14ac:dyDescent="0.25">
      <c r="A406" t="s">
        <v>457</v>
      </c>
      <c r="B406" t="s">
        <v>458</v>
      </c>
      <c r="C406">
        <v>4.8</v>
      </c>
      <c r="D406">
        <v>13871</v>
      </c>
      <c r="E406" s="10">
        <v>8</v>
      </c>
      <c r="F406">
        <v>2011</v>
      </c>
      <c r="G406" t="s">
        <v>12</v>
      </c>
    </row>
    <row r="407" spans="1:7" x14ac:dyDescent="0.25">
      <c r="A407" t="s">
        <v>457</v>
      </c>
      <c r="B407" t="s">
        <v>458</v>
      </c>
      <c r="C407">
        <v>4.8</v>
      </c>
      <c r="D407">
        <v>13871</v>
      </c>
      <c r="E407" s="10">
        <v>7</v>
      </c>
      <c r="F407">
        <v>2011</v>
      </c>
      <c r="G407" t="s">
        <v>12</v>
      </c>
    </row>
    <row r="408" spans="1:7" x14ac:dyDescent="0.25">
      <c r="A408" t="s">
        <v>459</v>
      </c>
      <c r="B408" t="s">
        <v>333</v>
      </c>
      <c r="C408">
        <v>4.8</v>
      </c>
      <c r="D408">
        <v>6982</v>
      </c>
      <c r="E408" s="10">
        <v>14</v>
      </c>
      <c r="F408">
        <v>2013</v>
      </c>
      <c r="G408" t="s">
        <v>12</v>
      </c>
    </row>
    <row r="409" spans="1:7" x14ac:dyDescent="0.25">
      <c r="A409" t="s">
        <v>460</v>
      </c>
      <c r="B409" t="s">
        <v>88</v>
      </c>
      <c r="C409">
        <v>4.7</v>
      </c>
      <c r="D409">
        <v>32122</v>
      </c>
      <c r="E409" s="10">
        <v>14</v>
      </c>
      <c r="F409">
        <v>2010</v>
      </c>
      <c r="G409" t="s">
        <v>12</v>
      </c>
    </row>
    <row r="410" spans="1:7" x14ac:dyDescent="0.25">
      <c r="A410" t="s">
        <v>461</v>
      </c>
      <c r="B410" t="s">
        <v>88</v>
      </c>
      <c r="C410">
        <v>4.7</v>
      </c>
      <c r="D410">
        <v>32122</v>
      </c>
      <c r="E410" s="10">
        <v>8</v>
      </c>
      <c r="F410">
        <v>2011</v>
      </c>
      <c r="G410" t="s">
        <v>12</v>
      </c>
    </row>
    <row r="411" spans="1:7" x14ac:dyDescent="0.25">
      <c r="A411" t="s">
        <v>461</v>
      </c>
      <c r="B411" t="s">
        <v>88</v>
      </c>
      <c r="C411">
        <v>4.7</v>
      </c>
      <c r="D411">
        <v>32122</v>
      </c>
      <c r="E411" s="10">
        <v>8</v>
      </c>
      <c r="F411">
        <v>2012</v>
      </c>
      <c r="G411" t="s">
        <v>12</v>
      </c>
    </row>
    <row r="412" spans="1:7" x14ac:dyDescent="0.25">
      <c r="A412" t="s">
        <v>462</v>
      </c>
      <c r="B412" t="s">
        <v>88</v>
      </c>
      <c r="C412">
        <v>4.8</v>
      </c>
      <c r="D412">
        <v>16949</v>
      </c>
      <c r="E412" s="10">
        <v>30</v>
      </c>
      <c r="F412">
        <v>2011</v>
      </c>
      <c r="G412" t="s">
        <v>12</v>
      </c>
    </row>
    <row r="413" spans="1:7" x14ac:dyDescent="0.25">
      <c r="A413" t="s">
        <v>462</v>
      </c>
      <c r="B413" t="s">
        <v>88</v>
      </c>
      <c r="C413">
        <v>4.8</v>
      </c>
      <c r="D413">
        <v>16949</v>
      </c>
      <c r="E413" s="10">
        <v>30</v>
      </c>
      <c r="F413">
        <v>2012</v>
      </c>
      <c r="G413" t="s">
        <v>12</v>
      </c>
    </row>
    <row r="414" spans="1:7" x14ac:dyDescent="0.25">
      <c r="A414" t="s">
        <v>463</v>
      </c>
      <c r="B414" t="s">
        <v>464</v>
      </c>
      <c r="C414">
        <v>4.7</v>
      </c>
      <c r="D414">
        <v>9289</v>
      </c>
      <c r="E414" s="10">
        <v>13</v>
      </c>
      <c r="F414">
        <v>2010</v>
      </c>
      <c r="G414" t="s">
        <v>9</v>
      </c>
    </row>
    <row r="415" spans="1:7" x14ac:dyDescent="0.25">
      <c r="A415" t="s">
        <v>463</v>
      </c>
      <c r="B415" t="s">
        <v>464</v>
      </c>
      <c r="C415">
        <v>4.7</v>
      </c>
      <c r="D415">
        <v>9289</v>
      </c>
      <c r="E415" s="10">
        <v>9</v>
      </c>
      <c r="F415">
        <v>2011</v>
      </c>
      <c r="G415" t="s">
        <v>9</v>
      </c>
    </row>
    <row r="416" spans="1:7" x14ac:dyDescent="0.25">
      <c r="A416" t="s">
        <v>463</v>
      </c>
      <c r="B416" t="s">
        <v>464</v>
      </c>
      <c r="C416">
        <v>4.7</v>
      </c>
      <c r="D416">
        <v>9289</v>
      </c>
      <c r="E416" s="10">
        <v>9</v>
      </c>
      <c r="F416">
        <v>2012</v>
      </c>
      <c r="G416" t="s">
        <v>9</v>
      </c>
    </row>
    <row r="417" spans="1:7" x14ac:dyDescent="0.25">
      <c r="A417" t="s">
        <v>465</v>
      </c>
      <c r="B417" t="s">
        <v>466</v>
      </c>
      <c r="C417">
        <v>4.3</v>
      </c>
      <c r="D417">
        <v>7368</v>
      </c>
      <c r="E417" s="10">
        <v>7</v>
      </c>
      <c r="F417">
        <v>2017</v>
      </c>
      <c r="G417" t="s">
        <v>9</v>
      </c>
    </row>
    <row r="418" spans="1:7" x14ac:dyDescent="0.25">
      <c r="A418" t="s">
        <v>465</v>
      </c>
      <c r="B418" t="s">
        <v>466</v>
      </c>
      <c r="C418">
        <v>4.3</v>
      </c>
      <c r="D418">
        <v>7368</v>
      </c>
      <c r="E418" s="10">
        <v>7</v>
      </c>
      <c r="F418">
        <v>2018</v>
      </c>
      <c r="G418" t="s">
        <v>9</v>
      </c>
    </row>
    <row r="419" spans="1:7" x14ac:dyDescent="0.25">
      <c r="A419" t="s">
        <v>467</v>
      </c>
      <c r="B419" t="s">
        <v>468</v>
      </c>
      <c r="C419">
        <v>4.7</v>
      </c>
      <c r="D419">
        <v>4028</v>
      </c>
      <c r="E419" s="10">
        <v>9</v>
      </c>
      <c r="F419">
        <v>2009</v>
      </c>
      <c r="G419" t="s">
        <v>9</v>
      </c>
    </row>
    <row r="420" spans="1:7" x14ac:dyDescent="0.25">
      <c r="A420" t="s">
        <v>469</v>
      </c>
      <c r="B420" t="s">
        <v>333</v>
      </c>
      <c r="C420">
        <v>4.8</v>
      </c>
      <c r="D420">
        <v>4628</v>
      </c>
      <c r="E420" s="10">
        <v>7</v>
      </c>
      <c r="F420">
        <v>2009</v>
      </c>
      <c r="G420" t="s">
        <v>12</v>
      </c>
    </row>
    <row r="421" spans="1:7" x14ac:dyDescent="0.25">
      <c r="A421" t="s">
        <v>469</v>
      </c>
      <c r="B421" t="s">
        <v>333</v>
      </c>
      <c r="C421">
        <v>4.8</v>
      </c>
      <c r="D421">
        <v>4628</v>
      </c>
      <c r="E421" s="10">
        <v>7</v>
      </c>
      <c r="F421">
        <v>2010</v>
      </c>
      <c r="G421" t="s">
        <v>12</v>
      </c>
    </row>
    <row r="422" spans="1:7" x14ac:dyDescent="0.25">
      <c r="A422" t="s">
        <v>470</v>
      </c>
      <c r="B422" t="s">
        <v>471</v>
      </c>
      <c r="C422">
        <v>4.9000000000000004</v>
      </c>
      <c r="D422">
        <v>5396</v>
      </c>
      <c r="E422" s="10">
        <v>20</v>
      </c>
      <c r="F422">
        <v>2013</v>
      </c>
      <c r="G422" t="s">
        <v>12</v>
      </c>
    </row>
    <row r="423" spans="1:7" x14ac:dyDescent="0.25">
      <c r="A423" t="s">
        <v>472</v>
      </c>
      <c r="B423" t="s">
        <v>473</v>
      </c>
      <c r="C423">
        <v>4.4000000000000004</v>
      </c>
      <c r="D423">
        <v>4247</v>
      </c>
      <c r="E423" s="10">
        <v>13</v>
      </c>
      <c r="F423">
        <v>2011</v>
      </c>
      <c r="G423" t="s">
        <v>9</v>
      </c>
    </row>
    <row r="424" spans="1:7" x14ac:dyDescent="0.25">
      <c r="A424" t="s">
        <v>472</v>
      </c>
      <c r="B424" t="s">
        <v>473</v>
      </c>
      <c r="C424">
        <v>4.4000000000000004</v>
      </c>
      <c r="D424">
        <v>4247</v>
      </c>
      <c r="E424" s="10">
        <v>13</v>
      </c>
      <c r="F424">
        <v>2012</v>
      </c>
      <c r="G424" t="s">
        <v>9</v>
      </c>
    </row>
    <row r="425" spans="1:7" x14ac:dyDescent="0.25">
      <c r="A425" t="s">
        <v>474</v>
      </c>
      <c r="B425" t="s">
        <v>475</v>
      </c>
      <c r="C425">
        <v>4.5</v>
      </c>
      <c r="D425">
        <v>22641</v>
      </c>
      <c r="E425" s="10">
        <v>11</v>
      </c>
      <c r="F425">
        <v>2015</v>
      </c>
      <c r="G425" t="s">
        <v>9</v>
      </c>
    </row>
    <row r="426" spans="1:7" x14ac:dyDescent="0.25">
      <c r="A426" t="s">
        <v>474</v>
      </c>
      <c r="B426" t="s">
        <v>475</v>
      </c>
      <c r="C426">
        <v>4.5</v>
      </c>
      <c r="D426">
        <v>22641</v>
      </c>
      <c r="E426" s="10">
        <v>11</v>
      </c>
      <c r="F426">
        <v>2016</v>
      </c>
      <c r="G426" t="s">
        <v>9</v>
      </c>
    </row>
    <row r="427" spans="1:7" x14ac:dyDescent="0.25">
      <c r="A427" t="s">
        <v>474</v>
      </c>
      <c r="B427" t="s">
        <v>475</v>
      </c>
      <c r="C427">
        <v>4.5</v>
      </c>
      <c r="D427">
        <v>22641</v>
      </c>
      <c r="E427" s="10">
        <v>11</v>
      </c>
      <c r="F427">
        <v>2017</v>
      </c>
      <c r="G427" t="s">
        <v>9</v>
      </c>
    </row>
    <row r="428" spans="1:7" x14ac:dyDescent="0.25">
      <c r="A428" t="s">
        <v>474</v>
      </c>
      <c r="B428" t="s">
        <v>475</v>
      </c>
      <c r="C428">
        <v>4.5</v>
      </c>
      <c r="D428">
        <v>22641</v>
      </c>
      <c r="E428" s="10">
        <v>11</v>
      </c>
      <c r="F428">
        <v>2019</v>
      </c>
      <c r="G428" t="s">
        <v>9</v>
      </c>
    </row>
    <row r="429" spans="1:7" x14ac:dyDescent="0.25">
      <c r="A429" t="s">
        <v>476</v>
      </c>
      <c r="B429" t="s">
        <v>377</v>
      </c>
      <c r="C429">
        <v>4.4000000000000004</v>
      </c>
      <c r="D429">
        <v>6222</v>
      </c>
      <c r="E429" s="10">
        <v>18</v>
      </c>
      <c r="F429">
        <v>2011</v>
      </c>
      <c r="G429" t="s">
        <v>12</v>
      </c>
    </row>
    <row r="430" spans="1:7" x14ac:dyDescent="0.25">
      <c r="A430" t="s">
        <v>477</v>
      </c>
      <c r="B430" t="s">
        <v>333</v>
      </c>
      <c r="C430">
        <v>4.8</v>
      </c>
      <c r="D430">
        <v>4506</v>
      </c>
      <c r="E430" s="10">
        <v>14</v>
      </c>
      <c r="F430">
        <v>2010</v>
      </c>
      <c r="G430" t="s">
        <v>12</v>
      </c>
    </row>
    <row r="431" spans="1:7" x14ac:dyDescent="0.25">
      <c r="A431" t="s">
        <v>478</v>
      </c>
      <c r="B431" t="s">
        <v>245</v>
      </c>
      <c r="C431">
        <v>4.2</v>
      </c>
      <c r="D431">
        <v>8747</v>
      </c>
      <c r="E431" s="10">
        <v>19</v>
      </c>
      <c r="F431">
        <v>2009</v>
      </c>
      <c r="G431" t="s">
        <v>12</v>
      </c>
    </row>
    <row r="432" spans="1:7" x14ac:dyDescent="0.25">
      <c r="A432" t="s">
        <v>479</v>
      </c>
      <c r="B432" t="s">
        <v>480</v>
      </c>
      <c r="C432">
        <v>4.8</v>
      </c>
      <c r="D432">
        <v>1655</v>
      </c>
      <c r="E432" s="10">
        <v>13</v>
      </c>
      <c r="F432">
        <v>2009</v>
      </c>
      <c r="G432" t="s">
        <v>9</v>
      </c>
    </row>
    <row r="433" spans="1:7" x14ac:dyDescent="0.25">
      <c r="A433" t="s">
        <v>481</v>
      </c>
      <c r="B433" t="s">
        <v>482</v>
      </c>
      <c r="C433">
        <v>4.9000000000000004</v>
      </c>
      <c r="D433">
        <v>7861</v>
      </c>
      <c r="E433" s="10">
        <v>5</v>
      </c>
      <c r="F433">
        <v>2016</v>
      </c>
      <c r="G433" t="s">
        <v>9</v>
      </c>
    </row>
    <row r="434" spans="1:7" x14ac:dyDescent="0.25">
      <c r="A434" t="s">
        <v>483</v>
      </c>
      <c r="B434" t="s">
        <v>333</v>
      </c>
      <c r="C434">
        <v>4.8</v>
      </c>
      <c r="D434">
        <v>6247</v>
      </c>
      <c r="E434" s="10">
        <v>10</v>
      </c>
      <c r="F434">
        <v>2012</v>
      </c>
      <c r="G434" t="s">
        <v>12</v>
      </c>
    </row>
    <row r="435" spans="1:7" x14ac:dyDescent="0.25">
      <c r="A435" t="s">
        <v>484</v>
      </c>
      <c r="B435" t="s">
        <v>485</v>
      </c>
      <c r="C435">
        <v>4.7</v>
      </c>
      <c r="D435">
        <v>39459</v>
      </c>
      <c r="E435" s="10">
        <v>9</v>
      </c>
      <c r="F435">
        <v>2015</v>
      </c>
      <c r="G435" t="s">
        <v>12</v>
      </c>
    </row>
    <row r="436" spans="1:7" x14ac:dyDescent="0.25">
      <c r="A436" t="s">
        <v>486</v>
      </c>
      <c r="B436" t="s">
        <v>487</v>
      </c>
      <c r="C436">
        <v>4.5</v>
      </c>
      <c r="D436">
        <v>10101</v>
      </c>
      <c r="E436" s="10">
        <v>8</v>
      </c>
      <c r="F436">
        <v>2014</v>
      </c>
      <c r="G436" t="s">
        <v>12</v>
      </c>
    </row>
    <row r="437" spans="1:7" x14ac:dyDescent="0.25">
      <c r="A437" t="s">
        <v>488</v>
      </c>
      <c r="B437" t="s">
        <v>80</v>
      </c>
      <c r="C437">
        <v>4.8</v>
      </c>
      <c r="D437">
        <v>5898</v>
      </c>
      <c r="E437" s="10">
        <v>8</v>
      </c>
      <c r="F437">
        <v>2018</v>
      </c>
      <c r="G437" t="s">
        <v>12</v>
      </c>
    </row>
    <row r="438" spans="1:7" x14ac:dyDescent="0.25">
      <c r="A438" t="s">
        <v>489</v>
      </c>
      <c r="B438" t="s">
        <v>490</v>
      </c>
      <c r="C438">
        <v>4.5999999999999996</v>
      </c>
      <c r="D438">
        <v>2744</v>
      </c>
      <c r="E438" s="10">
        <v>12</v>
      </c>
      <c r="F438">
        <v>2019</v>
      </c>
      <c r="G438" t="s">
        <v>9</v>
      </c>
    </row>
    <row r="439" spans="1:7" x14ac:dyDescent="0.25">
      <c r="A439" t="s">
        <v>491</v>
      </c>
      <c r="B439" t="s">
        <v>492</v>
      </c>
      <c r="C439">
        <v>4.8</v>
      </c>
      <c r="D439">
        <v>49288</v>
      </c>
      <c r="E439" s="10">
        <v>11</v>
      </c>
      <c r="F439">
        <v>2015</v>
      </c>
      <c r="G439" t="s">
        <v>12</v>
      </c>
    </row>
    <row r="440" spans="1:7" x14ac:dyDescent="0.25">
      <c r="A440" t="s">
        <v>491</v>
      </c>
      <c r="B440" t="s">
        <v>492</v>
      </c>
      <c r="C440">
        <v>4.8</v>
      </c>
      <c r="D440">
        <v>49288</v>
      </c>
      <c r="E440" s="10">
        <v>11</v>
      </c>
      <c r="F440">
        <v>2016</v>
      </c>
      <c r="G440" t="s">
        <v>12</v>
      </c>
    </row>
    <row r="441" spans="1:7" x14ac:dyDescent="0.25">
      <c r="A441" t="s">
        <v>493</v>
      </c>
      <c r="B441" t="s">
        <v>494</v>
      </c>
      <c r="C441">
        <v>4.4000000000000004</v>
      </c>
      <c r="D441">
        <v>1201</v>
      </c>
      <c r="E441" s="10">
        <v>40</v>
      </c>
      <c r="F441">
        <v>2010</v>
      </c>
      <c r="G441" t="s">
        <v>9</v>
      </c>
    </row>
    <row r="442" spans="1:7" x14ac:dyDescent="0.25">
      <c r="A442" t="s">
        <v>493</v>
      </c>
      <c r="B442" t="s">
        <v>494</v>
      </c>
      <c r="C442">
        <v>4.4000000000000004</v>
      </c>
      <c r="D442">
        <v>1201</v>
      </c>
      <c r="E442" s="10">
        <v>40</v>
      </c>
      <c r="F442">
        <v>2011</v>
      </c>
      <c r="G442" t="s">
        <v>9</v>
      </c>
    </row>
    <row r="443" spans="1:7" x14ac:dyDescent="0.25">
      <c r="A443" t="s">
        <v>493</v>
      </c>
      <c r="B443" t="s">
        <v>494</v>
      </c>
      <c r="C443">
        <v>4.4000000000000004</v>
      </c>
      <c r="D443">
        <v>1201</v>
      </c>
      <c r="E443" s="10">
        <v>40</v>
      </c>
      <c r="F443">
        <v>2012</v>
      </c>
      <c r="G443" t="s">
        <v>9</v>
      </c>
    </row>
    <row r="444" spans="1:7" x14ac:dyDescent="0.25">
      <c r="A444" t="s">
        <v>493</v>
      </c>
      <c r="B444" t="s">
        <v>494</v>
      </c>
      <c r="C444">
        <v>4.4000000000000004</v>
      </c>
      <c r="D444">
        <v>1201</v>
      </c>
      <c r="E444" s="10">
        <v>40</v>
      </c>
      <c r="F444">
        <v>2013</v>
      </c>
      <c r="G444" t="s">
        <v>9</v>
      </c>
    </row>
    <row r="445" spans="1:7" x14ac:dyDescent="0.25">
      <c r="A445" t="s">
        <v>493</v>
      </c>
      <c r="B445" t="s">
        <v>494</v>
      </c>
      <c r="C445">
        <v>4.4000000000000004</v>
      </c>
      <c r="D445">
        <v>1201</v>
      </c>
      <c r="E445" s="10">
        <v>40</v>
      </c>
      <c r="F445">
        <v>2014</v>
      </c>
      <c r="G445" t="s">
        <v>9</v>
      </c>
    </row>
    <row r="446" spans="1:7" x14ac:dyDescent="0.25">
      <c r="A446" t="s">
        <v>495</v>
      </c>
      <c r="B446" t="s">
        <v>494</v>
      </c>
      <c r="C446">
        <v>4.3</v>
      </c>
      <c r="D446">
        <v>807</v>
      </c>
      <c r="E446" s="10">
        <v>36</v>
      </c>
      <c r="F446">
        <v>2016</v>
      </c>
      <c r="G446" t="s">
        <v>9</v>
      </c>
    </row>
    <row r="447" spans="1:7" x14ac:dyDescent="0.25">
      <c r="A447" t="s">
        <v>496</v>
      </c>
      <c r="B447" t="s">
        <v>497</v>
      </c>
      <c r="C447">
        <v>4.3</v>
      </c>
      <c r="D447">
        <v>3759</v>
      </c>
      <c r="E447" s="10">
        <v>16</v>
      </c>
      <c r="F447">
        <v>2011</v>
      </c>
      <c r="G447" t="s">
        <v>12</v>
      </c>
    </row>
    <row r="448" spans="1:7" x14ac:dyDescent="0.25">
      <c r="A448" t="s">
        <v>498</v>
      </c>
      <c r="B448" t="s">
        <v>499</v>
      </c>
      <c r="C448">
        <v>4.8</v>
      </c>
      <c r="D448">
        <v>2663</v>
      </c>
      <c r="E448" s="10">
        <v>17</v>
      </c>
      <c r="F448">
        <v>2013</v>
      </c>
      <c r="G448" t="s">
        <v>9</v>
      </c>
    </row>
    <row r="449" spans="1:7" x14ac:dyDescent="0.25">
      <c r="A449" t="s">
        <v>500</v>
      </c>
      <c r="B449" t="s">
        <v>499</v>
      </c>
      <c r="C449">
        <v>4.8</v>
      </c>
      <c r="D449">
        <v>3428</v>
      </c>
      <c r="E449" s="10">
        <v>14</v>
      </c>
      <c r="F449">
        <v>2015</v>
      </c>
      <c r="G449" t="s">
        <v>9</v>
      </c>
    </row>
    <row r="450" spans="1:7" x14ac:dyDescent="0.25">
      <c r="A450" t="s">
        <v>501</v>
      </c>
      <c r="B450" t="s">
        <v>499</v>
      </c>
      <c r="C450">
        <v>4.8</v>
      </c>
      <c r="D450">
        <v>2876</v>
      </c>
      <c r="E450" s="10">
        <v>21</v>
      </c>
      <c r="F450">
        <v>2012</v>
      </c>
      <c r="G450" t="s">
        <v>9</v>
      </c>
    </row>
    <row r="451" spans="1:7" x14ac:dyDescent="0.25">
      <c r="A451" t="s">
        <v>502</v>
      </c>
      <c r="B451" t="s">
        <v>503</v>
      </c>
      <c r="C451">
        <v>4.5</v>
      </c>
      <c r="D451">
        <v>3601</v>
      </c>
      <c r="E451" s="10">
        <v>18</v>
      </c>
      <c r="F451">
        <v>2018</v>
      </c>
      <c r="G451" t="s">
        <v>9</v>
      </c>
    </row>
    <row r="452" spans="1:7" x14ac:dyDescent="0.25">
      <c r="A452" t="s">
        <v>504</v>
      </c>
      <c r="B452" t="s">
        <v>503</v>
      </c>
      <c r="C452">
        <v>4.4000000000000004</v>
      </c>
      <c r="D452">
        <v>7058</v>
      </c>
      <c r="E452" s="10">
        <v>17</v>
      </c>
      <c r="F452">
        <v>2018</v>
      </c>
      <c r="G452" t="s">
        <v>9</v>
      </c>
    </row>
    <row r="453" spans="1:7" x14ac:dyDescent="0.25">
      <c r="A453" t="s">
        <v>505</v>
      </c>
      <c r="B453" t="s">
        <v>506</v>
      </c>
      <c r="C453">
        <v>4.8</v>
      </c>
      <c r="D453">
        <v>9784</v>
      </c>
      <c r="E453" s="10">
        <v>5</v>
      </c>
      <c r="F453">
        <v>2017</v>
      </c>
      <c r="G453" t="s">
        <v>12</v>
      </c>
    </row>
    <row r="454" spans="1:7" x14ac:dyDescent="0.25">
      <c r="A454" t="s">
        <v>505</v>
      </c>
      <c r="B454" t="s">
        <v>506</v>
      </c>
      <c r="C454">
        <v>4.8</v>
      </c>
      <c r="D454">
        <v>9784</v>
      </c>
      <c r="E454" s="10">
        <v>5</v>
      </c>
      <c r="F454">
        <v>2018</v>
      </c>
      <c r="G454" t="s">
        <v>12</v>
      </c>
    </row>
    <row r="455" spans="1:7" x14ac:dyDescent="0.25">
      <c r="A455" t="s">
        <v>507</v>
      </c>
      <c r="B455" t="s">
        <v>508</v>
      </c>
      <c r="C455">
        <v>4.5999999999999996</v>
      </c>
      <c r="D455">
        <v>10795</v>
      </c>
      <c r="E455" s="10">
        <v>21</v>
      </c>
      <c r="F455">
        <v>2012</v>
      </c>
      <c r="G455" t="s">
        <v>9</v>
      </c>
    </row>
    <row r="456" spans="1:7" x14ac:dyDescent="0.25">
      <c r="A456" t="s">
        <v>509</v>
      </c>
      <c r="B456" t="s">
        <v>237</v>
      </c>
      <c r="C456">
        <v>4.3</v>
      </c>
      <c r="D456">
        <v>10191</v>
      </c>
      <c r="E456" s="10">
        <v>18</v>
      </c>
      <c r="F456">
        <v>2018</v>
      </c>
      <c r="G456" t="s">
        <v>12</v>
      </c>
    </row>
    <row r="457" spans="1:7" x14ac:dyDescent="0.25">
      <c r="A457" t="s">
        <v>510</v>
      </c>
      <c r="B457" t="s">
        <v>377</v>
      </c>
      <c r="C457">
        <v>4.3</v>
      </c>
      <c r="D457">
        <v>14493</v>
      </c>
      <c r="E457" s="10">
        <v>18</v>
      </c>
      <c r="F457">
        <v>2012</v>
      </c>
      <c r="G457" t="s">
        <v>12</v>
      </c>
    </row>
    <row r="458" spans="1:7" x14ac:dyDescent="0.25">
      <c r="A458" t="s">
        <v>511</v>
      </c>
      <c r="B458" t="s">
        <v>333</v>
      </c>
      <c r="C458">
        <v>4.5999999999999996</v>
      </c>
      <c r="D458">
        <v>2186</v>
      </c>
      <c r="E458" s="10">
        <v>12</v>
      </c>
      <c r="F458">
        <v>2010</v>
      </c>
      <c r="G458" t="s">
        <v>12</v>
      </c>
    </row>
    <row r="459" spans="1:7" x14ac:dyDescent="0.25">
      <c r="A459" t="s">
        <v>512</v>
      </c>
      <c r="B459" t="s">
        <v>513</v>
      </c>
      <c r="C459">
        <v>4.5999999999999996</v>
      </c>
      <c r="D459">
        <v>1204</v>
      </c>
      <c r="E459" s="10">
        <v>14</v>
      </c>
      <c r="F459">
        <v>2010</v>
      </c>
      <c r="G459" t="s">
        <v>9</v>
      </c>
    </row>
    <row r="460" spans="1:7" x14ac:dyDescent="0.25">
      <c r="A460" t="s">
        <v>514</v>
      </c>
      <c r="B460" t="s">
        <v>333</v>
      </c>
      <c r="C460">
        <v>4.8</v>
      </c>
      <c r="D460">
        <v>2091</v>
      </c>
      <c r="E460" s="10">
        <v>12</v>
      </c>
      <c r="F460">
        <v>2012</v>
      </c>
      <c r="G460" t="s">
        <v>12</v>
      </c>
    </row>
    <row r="461" spans="1:7" x14ac:dyDescent="0.25">
      <c r="A461" t="s">
        <v>515</v>
      </c>
      <c r="B461" t="s">
        <v>516</v>
      </c>
      <c r="C461">
        <v>4.5999999999999996</v>
      </c>
      <c r="D461">
        <v>19720</v>
      </c>
      <c r="E461" s="10">
        <v>8</v>
      </c>
      <c r="F461">
        <v>2009</v>
      </c>
      <c r="G461" t="s">
        <v>12</v>
      </c>
    </row>
    <row r="462" spans="1:7" x14ac:dyDescent="0.25">
      <c r="A462" t="s">
        <v>515</v>
      </c>
      <c r="B462" t="s">
        <v>516</v>
      </c>
      <c r="C462">
        <v>4.5999999999999996</v>
      </c>
      <c r="D462">
        <v>19720</v>
      </c>
      <c r="E462" s="10">
        <v>8</v>
      </c>
      <c r="F462">
        <v>2017</v>
      </c>
      <c r="G462" t="s">
        <v>12</v>
      </c>
    </row>
    <row r="463" spans="1:7" x14ac:dyDescent="0.25">
      <c r="A463" t="s">
        <v>517</v>
      </c>
      <c r="B463" t="s">
        <v>75</v>
      </c>
      <c r="C463">
        <v>4.5999999999999996</v>
      </c>
      <c r="D463">
        <v>2122</v>
      </c>
      <c r="E463" s="10">
        <v>0</v>
      </c>
      <c r="F463">
        <v>2010</v>
      </c>
      <c r="G463" t="s">
        <v>12</v>
      </c>
    </row>
    <row r="464" spans="1:7" x14ac:dyDescent="0.25">
      <c r="A464" t="s">
        <v>518</v>
      </c>
      <c r="B464" t="s">
        <v>519</v>
      </c>
      <c r="C464">
        <v>4.5</v>
      </c>
      <c r="D464">
        <v>27536</v>
      </c>
      <c r="E464" s="10">
        <v>14</v>
      </c>
      <c r="F464">
        <v>2019</v>
      </c>
      <c r="G464" t="s">
        <v>12</v>
      </c>
    </row>
    <row r="465" spans="1:7" x14ac:dyDescent="0.25">
      <c r="A465" t="s">
        <v>520</v>
      </c>
      <c r="B465" t="s">
        <v>333</v>
      </c>
      <c r="C465">
        <v>4.8</v>
      </c>
      <c r="D465">
        <v>4290</v>
      </c>
      <c r="E465" s="10">
        <v>10</v>
      </c>
      <c r="F465">
        <v>2011</v>
      </c>
      <c r="G465" t="s">
        <v>12</v>
      </c>
    </row>
    <row r="466" spans="1:7" x14ac:dyDescent="0.25">
      <c r="A466" t="s">
        <v>521</v>
      </c>
      <c r="B466" t="s">
        <v>522</v>
      </c>
      <c r="C466">
        <v>4.5999999999999996</v>
      </c>
      <c r="D466">
        <v>26490</v>
      </c>
      <c r="E466" s="10">
        <v>15</v>
      </c>
      <c r="F466">
        <v>2017</v>
      </c>
      <c r="G466" t="s">
        <v>9</v>
      </c>
    </row>
    <row r="467" spans="1:7" x14ac:dyDescent="0.25">
      <c r="A467" t="s">
        <v>521</v>
      </c>
      <c r="B467" t="s">
        <v>522</v>
      </c>
      <c r="C467">
        <v>4.5999999999999996</v>
      </c>
      <c r="D467">
        <v>26490</v>
      </c>
      <c r="E467" s="10">
        <v>15</v>
      </c>
      <c r="F467">
        <v>2018</v>
      </c>
      <c r="G467" t="s">
        <v>9</v>
      </c>
    </row>
    <row r="468" spans="1:7" x14ac:dyDescent="0.25">
      <c r="A468" t="s">
        <v>521</v>
      </c>
      <c r="B468" t="s">
        <v>522</v>
      </c>
      <c r="C468">
        <v>4.5999999999999996</v>
      </c>
      <c r="D468">
        <v>26490</v>
      </c>
      <c r="E468" s="10">
        <v>15</v>
      </c>
      <c r="F468">
        <v>2019</v>
      </c>
      <c r="G468" t="s">
        <v>9</v>
      </c>
    </row>
    <row r="469" spans="1:7" x14ac:dyDescent="0.25">
      <c r="A469" t="s">
        <v>523</v>
      </c>
      <c r="B469" t="s">
        <v>301</v>
      </c>
      <c r="C469">
        <v>4.7</v>
      </c>
      <c r="D469">
        <v>5487</v>
      </c>
      <c r="E469" s="10">
        <v>9</v>
      </c>
      <c r="F469">
        <v>2017</v>
      </c>
      <c r="G469" t="s">
        <v>9</v>
      </c>
    </row>
    <row r="470" spans="1:7" x14ac:dyDescent="0.25">
      <c r="A470" t="s">
        <v>524</v>
      </c>
      <c r="B470" t="s">
        <v>80</v>
      </c>
      <c r="C470">
        <v>4.7</v>
      </c>
      <c r="D470">
        <v>6377</v>
      </c>
      <c r="E470" s="10">
        <v>7</v>
      </c>
      <c r="F470">
        <v>2012</v>
      </c>
      <c r="G470" t="s">
        <v>12</v>
      </c>
    </row>
    <row r="471" spans="1:7" x14ac:dyDescent="0.25">
      <c r="A471" t="s">
        <v>525</v>
      </c>
      <c r="B471" t="s">
        <v>333</v>
      </c>
      <c r="C471">
        <v>4.7</v>
      </c>
      <c r="D471">
        <v>1463</v>
      </c>
      <c r="E471" s="10">
        <v>10</v>
      </c>
      <c r="F471">
        <v>2011</v>
      </c>
      <c r="G471" t="s">
        <v>12</v>
      </c>
    </row>
    <row r="472" spans="1:7" x14ac:dyDescent="0.25">
      <c r="A472" t="s">
        <v>526</v>
      </c>
      <c r="B472" t="s">
        <v>527</v>
      </c>
      <c r="C472">
        <v>4.4000000000000004</v>
      </c>
      <c r="D472">
        <v>3759</v>
      </c>
      <c r="E472" s="10">
        <v>6</v>
      </c>
      <c r="F472">
        <v>2009</v>
      </c>
      <c r="G472" t="s">
        <v>12</v>
      </c>
    </row>
    <row r="473" spans="1:7" x14ac:dyDescent="0.25">
      <c r="A473" t="s">
        <v>528</v>
      </c>
      <c r="B473" t="s">
        <v>103</v>
      </c>
      <c r="C473">
        <v>4.4000000000000004</v>
      </c>
      <c r="D473">
        <v>3503</v>
      </c>
      <c r="E473" s="10">
        <v>9</v>
      </c>
      <c r="F473">
        <v>2009</v>
      </c>
      <c r="G473" t="s">
        <v>9</v>
      </c>
    </row>
    <row r="474" spans="1:7" x14ac:dyDescent="0.25">
      <c r="A474" t="s">
        <v>529</v>
      </c>
      <c r="B474" t="s">
        <v>530</v>
      </c>
      <c r="C474">
        <v>4.7</v>
      </c>
      <c r="D474">
        <v>11550</v>
      </c>
      <c r="E474" s="10">
        <v>10</v>
      </c>
      <c r="F474">
        <v>2019</v>
      </c>
      <c r="G474" t="s">
        <v>9</v>
      </c>
    </row>
    <row r="475" spans="1:7" x14ac:dyDescent="0.25">
      <c r="A475" t="s">
        <v>531</v>
      </c>
      <c r="B475" t="s">
        <v>75</v>
      </c>
      <c r="C475">
        <v>4.7</v>
      </c>
      <c r="D475">
        <v>3801</v>
      </c>
      <c r="E475" s="10">
        <v>82</v>
      </c>
      <c r="F475">
        <v>2009</v>
      </c>
      <c r="G475" t="s">
        <v>12</v>
      </c>
    </row>
    <row r="476" spans="1:7" x14ac:dyDescent="0.25">
      <c r="A476" t="s">
        <v>532</v>
      </c>
      <c r="B476" t="s">
        <v>80</v>
      </c>
      <c r="C476">
        <v>4.8</v>
      </c>
      <c r="D476">
        <v>3796</v>
      </c>
      <c r="E476" s="10">
        <v>12</v>
      </c>
      <c r="F476">
        <v>2010</v>
      </c>
      <c r="G476" t="s">
        <v>12</v>
      </c>
    </row>
    <row r="477" spans="1:7" x14ac:dyDescent="0.25">
      <c r="A477" t="s">
        <v>533</v>
      </c>
      <c r="B477" t="s">
        <v>534</v>
      </c>
      <c r="C477">
        <v>4.7</v>
      </c>
      <c r="D477">
        <v>9030</v>
      </c>
      <c r="E477" s="10">
        <v>10</v>
      </c>
      <c r="F477">
        <v>2019</v>
      </c>
      <c r="G477" t="s">
        <v>9</v>
      </c>
    </row>
    <row r="478" spans="1:7" x14ac:dyDescent="0.25">
      <c r="A478" t="s">
        <v>535</v>
      </c>
      <c r="B478" t="s">
        <v>536</v>
      </c>
      <c r="C478">
        <v>4.9000000000000004</v>
      </c>
      <c r="D478">
        <v>19546</v>
      </c>
      <c r="E478" s="10">
        <v>5</v>
      </c>
      <c r="F478">
        <v>2013</v>
      </c>
      <c r="G478" t="s">
        <v>12</v>
      </c>
    </row>
    <row r="479" spans="1:7" x14ac:dyDescent="0.25">
      <c r="A479" t="s">
        <v>535</v>
      </c>
      <c r="B479" t="s">
        <v>536</v>
      </c>
      <c r="C479">
        <v>4.9000000000000004</v>
      </c>
      <c r="D479">
        <v>19546</v>
      </c>
      <c r="E479" s="10">
        <v>5</v>
      </c>
      <c r="F479">
        <v>2014</v>
      </c>
      <c r="G479" t="s">
        <v>12</v>
      </c>
    </row>
    <row r="480" spans="1:7" x14ac:dyDescent="0.25">
      <c r="A480" t="s">
        <v>535</v>
      </c>
      <c r="B480" t="s">
        <v>536</v>
      </c>
      <c r="C480">
        <v>4.9000000000000004</v>
      </c>
      <c r="D480">
        <v>19546</v>
      </c>
      <c r="E480" s="10">
        <v>5</v>
      </c>
      <c r="F480">
        <v>2015</v>
      </c>
      <c r="G480" t="s">
        <v>12</v>
      </c>
    </row>
    <row r="481" spans="1:7" x14ac:dyDescent="0.25">
      <c r="A481" t="s">
        <v>535</v>
      </c>
      <c r="B481" t="s">
        <v>536</v>
      </c>
      <c r="C481">
        <v>4.9000000000000004</v>
      </c>
      <c r="D481">
        <v>19546</v>
      </c>
      <c r="E481" s="10">
        <v>5</v>
      </c>
      <c r="F481">
        <v>2016</v>
      </c>
      <c r="G481" t="s">
        <v>12</v>
      </c>
    </row>
    <row r="482" spans="1:7" x14ac:dyDescent="0.25">
      <c r="A482" t="s">
        <v>535</v>
      </c>
      <c r="B482" t="s">
        <v>536</v>
      </c>
      <c r="C482">
        <v>4.9000000000000004</v>
      </c>
      <c r="D482">
        <v>19546</v>
      </c>
      <c r="E482" s="10">
        <v>5</v>
      </c>
      <c r="F482">
        <v>2017</v>
      </c>
      <c r="G482" t="s">
        <v>12</v>
      </c>
    </row>
    <row r="483" spans="1:7" x14ac:dyDescent="0.25">
      <c r="A483" t="s">
        <v>535</v>
      </c>
      <c r="B483" t="s">
        <v>536</v>
      </c>
      <c r="C483">
        <v>4.9000000000000004</v>
      </c>
      <c r="D483">
        <v>19546</v>
      </c>
      <c r="E483" s="10">
        <v>5</v>
      </c>
      <c r="F483">
        <v>2018</v>
      </c>
      <c r="G483" t="s">
        <v>12</v>
      </c>
    </row>
    <row r="484" spans="1:7" x14ac:dyDescent="0.25">
      <c r="A484" t="s">
        <v>535</v>
      </c>
      <c r="B484" t="s">
        <v>536</v>
      </c>
      <c r="C484">
        <v>4.9000000000000004</v>
      </c>
      <c r="D484">
        <v>19546</v>
      </c>
      <c r="E484" s="10">
        <v>5</v>
      </c>
      <c r="F484">
        <v>2019</v>
      </c>
      <c r="G484" t="s">
        <v>12</v>
      </c>
    </row>
    <row r="485" spans="1:7" x14ac:dyDescent="0.25">
      <c r="A485" t="s">
        <v>537</v>
      </c>
      <c r="B485" t="s">
        <v>538</v>
      </c>
      <c r="C485">
        <v>4.5999999999999996</v>
      </c>
      <c r="D485">
        <v>7508</v>
      </c>
      <c r="E485" s="10">
        <v>16</v>
      </c>
      <c r="F485">
        <v>2015</v>
      </c>
      <c r="G485" t="s">
        <v>9</v>
      </c>
    </row>
    <row r="486" spans="1:7" x14ac:dyDescent="0.25">
      <c r="A486" t="s">
        <v>537</v>
      </c>
      <c r="B486" t="s">
        <v>538</v>
      </c>
      <c r="C486">
        <v>4.5999999999999996</v>
      </c>
      <c r="D486">
        <v>7508</v>
      </c>
      <c r="E486" s="10">
        <v>16</v>
      </c>
      <c r="F486">
        <v>2016</v>
      </c>
      <c r="G486" t="s">
        <v>9</v>
      </c>
    </row>
    <row r="487" spans="1:7" x14ac:dyDescent="0.25">
      <c r="A487" t="s">
        <v>537</v>
      </c>
      <c r="B487" t="s">
        <v>538</v>
      </c>
      <c r="C487">
        <v>4.5999999999999996</v>
      </c>
      <c r="D487">
        <v>7508</v>
      </c>
      <c r="E487" s="10">
        <v>16</v>
      </c>
      <c r="F487">
        <v>2017</v>
      </c>
      <c r="G487" t="s">
        <v>9</v>
      </c>
    </row>
    <row r="488" spans="1:7" x14ac:dyDescent="0.25">
      <c r="A488" t="s">
        <v>539</v>
      </c>
      <c r="B488" t="s">
        <v>540</v>
      </c>
      <c r="C488">
        <v>4.9000000000000004</v>
      </c>
      <c r="D488">
        <v>8842</v>
      </c>
      <c r="E488" s="10">
        <v>10</v>
      </c>
      <c r="F488">
        <v>2016</v>
      </c>
      <c r="G488" t="s">
        <v>12</v>
      </c>
    </row>
    <row r="489" spans="1:7" x14ac:dyDescent="0.25">
      <c r="A489" t="s">
        <v>539</v>
      </c>
      <c r="B489" t="s">
        <v>540</v>
      </c>
      <c r="C489">
        <v>4.9000000000000004</v>
      </c>
      <c r="D489">
        <v>8842</v>
      </c>
      <c r="E489" s="10">
        <v>10</v>
      </c>
      <c r="F489">
        <v>2017</v>
      </c>
      <c r="G489" t="s">
        <v>12</v>
      </c>
    </row>
    <row r="490" spans="1:7" x14ac:dyDescent="0.25">
      <c r="A490" t="s">
        <v>539</v>
      </c>
      <c r="B490" t="s">
        <v>540</v>
      </c>
      <c r="C490">
        <v>4.9000000000000004</v>
      </c>
      <c r="D490">
        <v>8842</v>
      </c>
      <c r="E490" s="10">
        <v>10</v>
      </c>
      <c r="F490">
        <v>2018</v>
      </c>
      <c r="G490" t="s">
        <v>12</v>
      </c>
    </row>
    <row r="491" spans="1:7" x14ac:dyDescent="0.25">
      <c r="A491" t="s">
        <v>539</v>
      </c>
      <c r="B491" t="s">
        <v>540</v>
      </c>
      <c r="C491">
        <v>4.9000000000000004</v>
      </c>
      <c r="D491">
        <v>8842</v>
      </c>
      <c r="E491" s="10">
        <v>10</v>
      </c>
      <c r="F491">
        <v>2019</v>
      </c>
      <c r="G491" t="s">
        <v>12</v>
      </c>
    </row>
    <row r="492" spans="1:7" x14ac:dyDescent="0.25">
      <c r="A492" t="s">
        <v>541</v>
      </c>
      <c r="B492" t="s">
        <v>542</v>
      </c>
      <c r="C492">
        <v>4.8</v>
      </c>
      <c r="D492">
        <v>30183</v>
      </c>
      <c r="E492" s="10">
        <v>4</v>
      </c>
      <c r="F492">
        <v>2018</v>
      </c>
      <c r="G492" t="s">
        <v>12</v>
      </c>
    </row>
    <row r="493" spans="1:7" x14ac:dyDescent="0.25">
      <c r="A493" t="s">
        <v>541</v>
      </c>
      <c r="B493" t="s">
        <v>542</v>
      </c>
      <c r="C493">
        <v>4.8</v>
      </c>
      <c r="D493">
        <v>30183</v>
      </c>
      <c r="E493" s="10">
        <v>4</v>
      </c>
      <c r="F493">
        <v>2019</v>
      </c>
      <c r="G493" t="s">
        <v>12</v>
      </c>
    </row>
    <row r="494" spans="1:7" x14ac:dyDescent="0.25">
      <c r="A494" t="s">
        <v>543</v>
      </c>
      <c r="B494" t="s">
        <v>544</v>
      </c>
      <c r="C494">
        <v>4.7</v>
      </c>
      <c r="D494">
        <v>6169</v>
      </c>
      <c r="E494" s="10">
        <v>16</v>
      </c>
      <c r="F494">
        <v>2015</v>
      </c>
      <c r="G494" t="s">
        <v>9</v>
      </c>
    </row>
    <row r="495" spans="1:7" x14ac:dyDescent="0.25">
      <c r="A495" t="s">
        <v>545</v>
      </c>
      <c r="B495" t="s">
        <v>546</v>
      </c>
      <c r="C495">
        <v>4.7</v>
      </c>
      <c r="D495">
        <v>7034</v>
      </c>
      <c r="E495" s="10">
        <v>15</v>
      </c>
      <c r="F495">
        <v>2013</v>
      </c>
      <c r="G495" t="s">
        <v>9</v>
      </c>
    </row>
    <row r="496" spans="1:7" x14ac:dyDescent="0.25">
      <c r="A496" t="s">
        <v>547</v>
      </c>
      <c r="B496" t="s">
        <v>548</v>
      </c>
      <c r="C496">
        <v>4.5999999999999996</v>
      </c>
      <c r="D496">
        <v>11034</v>
      </c>
      <c r="E496" s="10">
        <v>19</v>
      </c>
      <c r="F496">
        <v>2011</v>
      </c>
      <c r="G496" t="s">
        <v>9</v>
      </c>
    </row>
    <row r="497" spans="1:7" x14ac:dyDescent="0.25">
      <c r="A497" t="s">
        <v>547</v>
      </c>
      <c r="B497" t="s">
        <v>548</v>
      </c>
      <c r="C497">
        <v>4.5999999999999996</v>
      </c>
      <c r="D497">
        <v>11034</v>
      </c>
      <c r="E497" s="10">
        <v>19</v>
      </c>
      <c r="F497">
        <v>2012</v>
      </c>
      <c r="G497" t="s">
        <v>9</v>
      </c>
    </row>
    <row r="498" spans="1:7" x14ac:dyDescent="0.25">
      <c r="A498" t="s">
        <v>549</v>
      </c>
      <c r="B498" t="s">
        <v>550</v>
      </c>
      <c r="C498">
        <v>4.5</v>
      </c>
      <c r="D498">
        <v>7932</v>
      </c>
      <c r="E498" s="10">
        <v>9</v>
      </c>
      <c r="F498">
        <v>2017</v>
      </c>
      <c r="G498" t="s">
        <v>12</v>
      </c>
    </row>
    <row r="499" spans="1:7" x14ac:dyDescent="0.25">
      <c r="A499" t="s">
        <v>551</v>
      </c>
      <c r="B499" t="s">
        <v>552</v>
      </c>
      <c r="C499">
        <v>4.5</v>
      </c>
      <c r="D499">
        <v>1904</v>
      </c>
      <c r="E499" s="10">
        <v>23</v>
      </c>
      <c r="F499">
        <v>2012</v>
      </c>
      <c r="G499" t="s">
        <v>9</v>
      </c>
    </row>
    <row r="500" spans="1:7" x14ac:dyDescent="0.25">
      <c r="A500" t="s">
        <v>553</v>
      </c>
      <c r="B500" t="s">
        <v>554</v>
      </c>
      <c r="C500">
        <v>4.3</v>
      </c>
      <c r="D500">
        <v>3319</v>
      </c>
      <c r="E500" s="10">
        <v>11</v>
      </c>
      <c r="F500">
        <v>2009</v>
      </c>
      <c r="G500" t="s">
        <v>9</v>
      </c>
    </row>
    <row r="501" spans="1:7" x14ac:dyDescent="0.25">
      <c r="A501" t="s">
        <v>553</v>
      </c>
      <c r="B501" t="s">
        <v>554</v>
      </c>
      <c r="C501">
        <v>4.3</v>
      </c>
      <c r="D501">
        <v>3319</v>
      </c>
      <c r="E501" s="10">
        <v>11</v>
      </c>
      <c r="F501">
        <v>2010</v>
      </c>
      <c r="G501" t="s">
        <v>9</v>
      </c>
    </row>
    <row r="502" spans="1:7" x14ac:dyDescent="0.25">
      <c r="A502" t="s">
        <v>555</v>
      </c>
      <c r="B502" t="s">
        <v>556</v>
      </c>
      <c r="C502">
        <v>4.5999999999999996</v>
      </c>
      <c r="D502">
        <v>11128</v>
      </c>
      <c r="E502" s="10">
        <v>23</v>
      </c>
      <c r="F502">
        <v>2014</v>
      </c>
      <c r="G502" t="s">
        <v>9</v>
      </c>
    </row>
    <row r="503" spans="1:7" x14ac:dyDescent="0.25">
      <c r="A503" t="s">
        <v>555</v>
      </c>
      <c r="B503" t="s">
        <v>556</v>
      </c>
      <c r="C503">
        <v>4.5999999999999996</v>
      </c>
      <c r="D503">
        <v>11128</v>
      </c>
      <c r="E503" s="10">
        <v>23</v>
      </c>
      <c r="F503">
        <v>2015</v>
      </c>
      <c r="G503" t="s">
        <v>9</v>
      </c>
    </row>
    <row r="504" spans="1:7" x14ac:dyDescent="0.25">
      <c r="A504" t="s">
        <v>555</v>
      </c>
      <c r="B504" t="s">
        <v>556</v>
      </c>
      <c r="C504">
        <v>4.5999999999999996</v>
      </c>
      <c r="D504">
        <v>11128</v>
      </c>
      <c r="E504" s="10">
        <v>23</v>
      </c>
      <c r="F504">
        <v>2016</v>
      </c>
      <c r="G504" t="s">
        <v>9</v>
      </c>
    </row>
    <row r="505" spans="1:7" x14ac:dyDescent="0.25">
      <c r="A505" t="s">
        <v>555</v>
      </c>
      <c r="B505" t="s">
        <v>556</v>
      </c>
      <c r="C505">
        <v>4.5999999999999996</v>
      </c>
      <c r="D505">
        <v>11128</v>
      </c>
      <c r="E505" s="10">
        <v>23</v>
      </c>
      <c r="F505">
        <v>2017</v>
      </c>
      <c r="G505" t="s">
        <v>9</v>
      </c>
    </row>
    <row r="506" spans="1:7" x14ac:dyDescent="0.25">
      <c r="A506" t="s">
        <v>557</v>
      </c>
      <c r="B506" t="s">
        <v>558</v>
      </c>
      <c r="C506">
        <v>4.3</v>
      </c>
      <c r="D506">
        <v>5977</v>
      </c>
      <c r="E506" s="10">
        <v>12</v>
      </c>
      <c r="F506">
        <v>2011</v>
      </c>
      <c r="G506" t="s">
        <v>9</v>
      </c>
    </row>
    <row r="507" spans="1:7" x14ac:dyDescent="0.25">
      <c r="A507" t="s">
        <v>559</v>
      </c>
      <c r="B507" t="s">
        <v>184</v>
      </c>
      <c r="C507">
        <v>4.8</v>
      </c>
      <c r="D507">
        <v>26234</v>
      </c>
      <c r="E507" s="10">
        <v>0</v>
      </c>
      <c r="F507">
        <v>2013</v>
      </c>
      <c r="G507" t="s">
        <v>12</v>
      </c>
    </row>
    <row r="508" spans="1:7" x14ac:dyDescent="0.25">
      <c r="A508" t="s">
        <v>559</v>
      </c>
      <c r="B508" t="s">
        <v>184</v>
      </c>
      <c r="C508">
        <v>4.8</v>
      </c>
      <c r="D508">
        <v>26234</v>
      </c>
      <c r="E508" s="10">
        <v>0</v>
      </c>
      <c r="F508">
        <v>2014</v>
      </c>
      <c r="G508" t="s">
        <v>12</v>
      </c>
    </row>
    <row r="509" spans="1:7" x14ac:dyDescent="0.25">
      <c r="A509" t="s">
        <v>559</v>
      </c>
      <c r="B509" t="s">
        <v>184</v>
      </c>
      <c r="C509">
        <v>4.8</v>
      </c>
      <c r="D509">
        <v>26234</v>
      </c>
      <c r="E509" s="10">
        <v>0</v>
      </c>
      <c r="F509">
        <v>2015</v>
      </c>
      <c r="G509" t="s">
        <v>12</v>
      </c>
    </row>
    <row r="510" spans="1:7" x14ac:dyDescent="0.25">
      <c r="A510" t="s">
        <v>559</v>
      </c>
      <c r="B510" t="s">
        <v>184</v>
      </c>
      <c r="C510">
        <v>4.8</v>
      </c>
      <c r="D510">
        <v>26234</v>
      </c>
      <c r="E510" s="10">
        <v>0</v>
      </c>
      <c r="F510">
        <v>2016</v>
      </c>
      <c r="G510" t="s">
        <v>12</v>
      </c>
    </row>
    <row r="511" spans="1:7" x14ac:dyDescent="0.25">
      <c r="A511" t="s">
        <v>559</v>
      </c>
      <c r="B511" t="s">
        <v>184</v>
      </c>
      <c r="C511">
        <v>4.8</v>
      </c>
      <c r="D511">
        <v>26234</v>
      </c>
      <c r="E511" s="10">
        <v>7</v>
      </c>
      <c r="F511">
        <v>2019</v>
      </c>
      <c r="G511" t="s">
        <v>12</v>
      </c>
    </row>
    <row r="512" spans="1:7" x14ac:dyDescent="0.25">
      <c r="A512" t="s">
        <v>560</v>
      </c>
      <c r="B512" t="s">
        <v>383</v>
      </c>
      <c r="C512">
        <v>4.5999999999999996</v>
      </c>
      <c r="D512">
        <v>4360</v>
      </c>
      <c r="E512" s="10">
        <v>21</v>
      </c>
      <c r="F512">
        <v>2017</v>
      </c>
      <c r="G512" t="s">
        <v>9</v>
      </c>
    </row>
    <row r="513" spans="1:7" x14ac:dyDescent="0.25">
      <c r="A513" t="s">
        <v>561</v>
      </c>
      <c r="B513" t="s">
        <v>562</v>
      </c>
      <c r="C513">
        <v>4.8</v>
      </c>
      <c r="D513">
        <v>2282</v>
      </c>
      <c r="E513" s="10">
        <v>21</v>
      </c>
      <c r="F513">
        <v>2010</v>
      </c>
      <c r="G513" t="s">
        <v>12</v>
      </c>
    </row>
    <row r="514" spans="1:7" x14ac:dyDescent="0.25">
      <c r="A514" t="s">
        <v>563</v>
      </c>
      <c r="B514" t="s">
        <v>564</v>
      </c>
      <c r="C514">
        <v>4.5</v>
      </c>
      <c r="D514">
        <v>438</v>
      </c>
      <c r="E514" s="10">
        <v>15</v>
      </c>
      <c r="F514">
        <v>2009</v>
      </c>
      <c r="G514" t="s">
        <v>9</v>
      </c>
    </row>
    <row r="515" spans="1:7" x14ac:dyDescent="0.25">
      <c r="A515" t="s">
        <v>565</v>
      </c>
      <c r="B515" t="s">
        <v>75</v>
      </c>
      <c r="C515">
        <v>4.7</v>
      </c>
      <c r="D515">
        <v>11676</v>
      </c>
      <c r="E515" s="10">
        <v>9</v>
      </c>
      <c r="F515">
        <v>2009</v>
      </c>
      <c r="G515" t="s">
        <v>12</v>
      </c>
    </row>
    <row r="516" spans="1:7" x14ac:dyDescent="0.25">
      <c r="A516" t="s">
        <v>566</v>
      </c>
      <c r="B516" t="s">
        <v>60</v>
      </c>
      <c r="C516">
        <v>4.5</v>
      </c>
      <c r="D516">
        <v>2586</v>
      </c>
      <c r="E516" s="10">
        <v>5</v>
      </c>
      <c r="F516">
        <v>2014</v>
      </c>
      <c r="G516" t="s">
        <v>12</v>
      </c>
    </row>
    <row r="517" spans="1:7" x14ac:dyDescent="0.25">
      <c r="A517" t="s">
        <v>567</v>
      </c>
      <c r="B517" t="s">
        <v>568</v>
      </c>
      <c r="C517">
        <v>4.8</v>
      </c>
      <c r="D517">
        <v>29673</v>
      </c>
      <c r="E517" s="10">
        <v>16</v>
      </c>
      <c r="F517">
        <v>2010</v>
      </c>
      <c r="G517" t="s">
        <v>9</v>
      </c>
    </row>
    <row r="518" spans="1:7" x14ac:dyDescent="0.25">
      <c r="A518" t="s">
        <v>567</v>
      </c>
      <c r="B518" t="s">
        <v>568</v>
      </c>
      <c r="C518">
        <v>4.8</v>
      </c>
      <c r="D518">
        <v>29673</v>
      </c>
      <c r="E518" s="10">
        <v>16</v>
      </c>
      <c r="F518">
        <v>2011</v>
      </c>
      <c r="G518" t="s">
        <v>9</v>
      </c>
    </row>
    <row r="519" spans="1:7" x14ac:dyDescent="0.25">
      <c r="A519" t="s">
        <v>567</v>
      </c>
      <c r="B519" t="s">
        <v>568</v>
      </c>
      <c r="C519">
        <v>4.8</v>
      </c>
      <c r="D519">
        <v>29673</v>
      </c>
      <c r="E519" s="10">
        <v>16</v>
      </c>
      <c r="F519">
        <v>2012</v>
      </c>
      <c r="G519" t="s">
        <v>9</v>
      </c>
    </row>
    <row r="520" spans="1:7" x14ac:dyDescent="0.25">
      <c r="A520" t="s">
        <v>567</v>
      </c>
      <c r="B520" t="s">
        <v>568</v>
      </c>
      <c r="C520">
        <v>4.8</v>
      </c>
      <c r="D520">
        <v>29673</v>
      </c>
      <c r="E520" s="10">
        <v>13</v>
      </c>
      <c r="F520">
        <v>2014</v>
      </c>
      <c r="G520" t="s">
        <v>9</v>
      </c>
    </row>
    <row r="521" spans="1:7" x14ac:dyDescent="0.25">
      <c r="A521" t="s">
        <v>567</v>
      </c>
      <c r="B521" t="s">
        <v>568</v>
      </c>
      <c r="C521">
        <v>4.8</v>
      </c>
      <c r="D521">
        <v>29673</v>
      </c>
      <c r="E521" s="10">
        <v>16</v>
      </c>
      <c r="F521">
        <v>2014</v>
      </c>
      <c r="G521" t="s">
        <v>9</v>
      </c>
    </row>
    <row r="522" spans="1:7" x14ac:dyDescent="0.25">
      <c r="A522" t="s">
        <v>569</v>
      </c>
      <c r="B522" t="s">
        <v>11</v>
      </c>
      <c r="C522">
        <v>4.3</v>
      </c>
      <c r="D522">
        <v>6740</v>
      </c>
      <c r="E522" s="10">
        <v>20</v>
      </c>
      <c r="F522">
        <v>2009</v>
      </c>
      <c r="G522" t="s">
        <v>12</v>
      </c>
    </row>
    <row r="523" spans="1:7" x14ac:dyDescent="0.25">
      <c r="A523" t="s">
        <v>570</v>
      </c>
      <c r="B523" t="s">
        <v>279</v>
      </c>
      <c r="C523">
        <v>4.9000000000000004</v>
      </c>
      <c r="D523">
        <v>5956</v>
      </c>
      <c r="E523" s="10">
        <v>11</v>
      </c>
      <c r="F523">
        <v>2019</v>
      </c>
      <c r="G523" t="s">
        <v>9</v>
      </c>
    </row>
    <row r="524" spans="1:7" x14ac:dyDescent="0.25">
      <c r="A524" t="s">
        <v>571</v>
      </c>
      <c r="B524" t="s">
        <v>572</v>
      </c>
      <c r="C524">
        <v>4.8</v>
      </c>
      <c r="D524">
        <v>6108</v>
      </c>
      <c r="E524" s="10">
        <v>4</v>
      </c>
      <c r="F524">
        <v>2019</v>
      </c>
      <c r="G524" t="s">
        <v>9</v>
      </c>
    </row>
    <row r="525" spans="1:7" x14ac:dyDescent="0.25">
      <c r="A525" t="s">
        <v>573</v>
      </c>
      <c r="B525" t="s">
        <v>251</v>
      </c>
      <c r="C525">
        <v>4.7</v>
      </c>
      <c r="D525">
        <v>4585</v>
      </c>
      <c r="E525" s="10">
        <v>9</v>
      </c>
      <c r="F525">
        <v>2016</v>
      </c>
      <c r="G525" t="s">
        <v>9</v>
      </c>
    </row>
    <row r="526" spans="1:7" x14ac:dyDescent="0.25">
      <c r="A526" t="s">
        <v>574</v>
      </c>
      <c r="B526" t="s">
        <v>575</v>
      </c>
      <c r="C526">
        <v>4.8</v>
      </c>
      <c r="D526">
        <v>3829</v>
      </c>
      <c r="E526" s="10">
        <v>42</v>
      </c>
      <c r="F526">
        <v>2009</v>
      </c>
      <c r="G526" t="s">
        <v>12</v>
      </c>
    </row>
    <row r="527" spans="1:7" x14ac:dyDescent="0.25">
      <c r="A527" t="s">
        <v>576</v>
      </c>
      <c r="B527" t="s">
        <v>577</v>
      </c>
      <c r="C527">
        <v>4.5</v>
      </c>
      <c r="D527">
        <v>8958</v>
      </c>
      <c r="E527" s="10">
        <v>12</v>
      </c>
      <c r="F527">
        <v>2011</v>
      </c>
      <c r="G527" t="s">
        <v>12</v>
      </c>
    </row>
    <row r="528" spans="1:7" x14ac:dyDescent="0.25">
      <c r="A528" t="s">
        <v>578</v>
      </c>
      <c r="B528" t="s">
        <v>579</v>
      </c>
      <c r="C528">
        <v>4.5999999999999996</v>
      </c>
      <c r="D528">
        <v>5492</v>
      </c>
      <c r="E528" s="10">
        <v>18</v>
      </c>
      <c r="F528">
        <v>2017</v>
      </c>
      <c r="G528" t="s">
        <v>9</v>
      </c>
    </row>
    <row r="529" spans="1:7" x14ac:dyDescent="0.25">
      <c r="A529" t="s">
        <v>580</v>
      </c>
      <c r="B529" t="s">
        <v>581</v>
      </c>
      <c r="C529">
        <v>4.7</v>
      </c>
      <c r="D529">
        <v>9292</v>
      </c>
      <c r="E529" s="10">
        <v>17</v>
      </c>
      <c r="F529">
        <v>2014</v>
      </c>
      <c r="G529" t="s">
        <v>9</v>
      </c>
    </row>
    <row r="530" spans="1:7" x14ac:dyDescent="0.25">
      <c r="A530" t="s">
        <v>582</v>
      </c>
      <c r="B530" t="s">
        <v>319</v>
      </c>
      <c r="C530">
        <v>4.7</v>
      </c>
      <c r="D530">
        <v>1873</v>
      </c>
      <c r="E530" s="10">
        <v>14</v>
      </c>
      <c r="F530">
        <v>2015</v>
      </c>
      <c r="G530" t="s">
        <v>12</v>
      </c>
    </row>
    <row r="531" spans="1:7" x14ac:dyDescent="0.25">
      <c r="A531" t="s">
        <v>583</v>
      </c>
      <c r="B531" t="s">
        <v>584</v>
      </c>
      <c r="C531">
        <v>4.8</v>
      </c>
      <c r="D531">
        <v>8170</v>
      </c>
      <c r="E531" s="10">
        <v>13</v>
      </c>
      <c r="F531">
        <v>2019</v>
      </c>
      <c r="G531" t="s">
        <v>12</v>
      </c>
    </row>
    <row r="532" spans="1:7" x14ac:dyDescent="0.25">
      <c r="A532" t="s">
        <v>585</v>
      </c>
      <c r="B532" t="s">
        <v>586</v>
      </c>
      <c r="C532">
        <v>4.4000000000000004</v>
      </c>
      <c r="D532">
        <v>3341</v>
      </c>
      <c r="E532" s="10">
        <v>9</v>
      </c>
      <c r="F532">
        <v>2011</v>
      </c>
      <c r="G532" t="s">
        <v>9</v>
      </c>
    </row>
    <row r="533" spans="1:7" x14ac:dyDescent="0.25">
      <c r="A533" t="s">
        <v>587</v>
      </c>
      <c r="B533" t="s">
        <v>588</v>
      </c>
      <c r="C533">
        <v>4.4000000000000004</v>
      </c>
      <c r="D533">
        <v>7497</v>
      </c>
      <c r="E533" s="10">
        <v>6</v>
      </c>
      <c r="F533">
        <v>2012</v>
      </c>
      <c r="G533" t="s">
        <v>9</v>
      </c>
    </row>
    <row r="534" spans="1:7" x14ac:dyDescent="0.25">
      <c r="A534" t="s">
        <v>587</v>
      </c>
      <c r="B534" t="s">
        <v>588</v>
      </c>
      <c r="C534">
        <v>4.4000000000000004</v>
      </c>
      <c r="D534">
        <v>7497</v>
      </c>
      <c r="E534" s="10">
        <v>6</v>
      </c>
      <c r="F534">
        <v>2013</v>
      </c>
      <c r="G534" t="s">
        <v>9</v>
      </c>
    </row>
    <row r="535" spans="1:7" x14ac:dyDescent="0.25">
      <c r="A535" t="s">
        <v>589</v>
      </c>
      <c r="B535" t="s">
        <v>590</v>
      </c>
      <c r="C535">
        <v>4.8</v>
      </c>
      <c r="D535">
        <v>13779</v>
      </c>
      <c r="E535" s="10">
        <v>14</v>
      </c>
      <c r="F535">
        <v>2016</v>
      </c>
      <c r="G535" t="s">
        <v>9</v>
      </c>
    </row>
    <row r="536" spans="1:7" x14ac:dyDescent="0.25">
      <c r="A536" t="s">
        <v>591</v>
      </c>
      <c r="B536" t="s">
        <v>592</v>
      </c>
      <c r="C536">
        <v>4.8</v>
      </c>
      <c r="D536">
        <v>87841</v>
      </c>
      <c r="E536" s="10">
        <v>15</v>
      </c>
      <c r="F536">
        <v>2019</v>
      </c>
      <c r="G536" t="s">
        <v>12</v>
      </c>
    </row>
    <row r="537" spans="1:7" x14ac:dyDescent="0.25">
      <c r="A537" t="s">
        <v>593</v>
      </c>
      <c r="B537" t="s">
        <v>594</v>
      </c>
      <c r="C537">
        <v>4.8</v>
      </c>
      <c r="D537">
        <v>9967</v>
      </c>
      <c r="E537" s="10">
        <v>13</v>
      </c>
      <c r="F537">
        <v>2009</v>
      </c>
      <c r="G537" t="s">
        <v>12</v>
      </c>
    </row>
    <row r="538" spans="1:7" x14ac:dyDescent="0.25">
      <c r="A538" t="s">
        <v>595</v>
      </c>
      <c r="B538" t="s">
        <v>596</v>
      </c>
      <c r="C538">
        <v>4.5999999999999996</v>
      </c>
      <c r="D538">
        <v>6669</v>
      </c>
      <c r="E538" s="10">
        <v>12</v>
      </c>
      <c r="F538">
        <v>2018</v>
      </c>
      <c r="G538" t="s">
        <v>9</v>
      </c>
    </row>
    <row r="539" spans="1:7" x14ac:dyDescent="0.25">
      <c r="A539" t="s">
        <v>597</v>
      </c>
      <c r="B539" t="s">
        <v>598</v>
      </c>
      <c r="C539">
        <v>4.4000000000000004</v>
      </c>
      <c r="D539">
        <v>17044</v>
      </c>
      <c r="E539" s="10">
        <v>18</v>
      </c>
      <c r="F539">
        <v>2012</v>
      </c>
      <c r="G539" t="s">
        <v>9</v>
      </c>
    </row>
    <row r="540" spans="1:7" x14ac:dyDescent="0.25">
      <c r="A540" t="s">
        <v>599</v>
      </c>
      <c r="B540" t="s">
        <v>600</v>
      </c>
      <c r="C540">
        <v>4.5</v>
      </c>
      <c r="D540">
        <v>10760</v>
      </c>
      <c r="E540" s="10">
        <v>15</v>
      </c>
      <c r="F540">
        <v>2012</v>
      </c>
      <c r="G540" t="s">
        <v>12</v>
      </c>
    </row>
    <row r="541" spans="1:7" x14ac:dyDescent="0.25">
      <c r="A541" t="s">
        <v>601</v>
      </c>
      <c r="B541" t="s">
        <v>602</v>
      </c>
      <c r="C541">
        <v>4.2</v>
      </c>
      <c r="D541">
        <v>1302</v>
      </c>
      <c r="E541" s="10">
        <v>11</v>
      </c>
      <c r="F541">
        <v>2010</v>
      </c>
      <c r="G541" t="s">
        <v>9</v>
      </c>
    </row>
    <row r="542" spans="1:7" x14ac:dyDescent="0.25">
      <c r="A542" t="s">
        <v>603</v>
      </c>
      <c r="B542" t="s">
        <v>604</v>
      </c>
      <c r="C542">
        <v>4.8</v>
      </c>
      <c r="D542">
        <v>21625</v>
      </c>
      <c r="E542" s="10">
        <v>9</v>
      </c>
      <c r="F542">
        <v>2013</v>
      </c>
      <c r="G542" t="s">
        <v>12</v>
      </c>
    </row>
    <row r="543" spans="1:7" x14ac:dyDescent="0.25">
      <c r="A543" t="s">
        <v>603</v>
      </c>
      <c r="B543" t="s">
        <v>604</v>
      </c>
      <c r="C543">
        <v>4.8</v>
      </c>
      <c r="D543">
        <v>21625</v>
      </c>
      <c r="E543" s="10">
        <v>9</v>
      </c>
      <c r="F543">
        <v>2014</v>
      </c>
      <c r="G543" t="s">
        <v>12</v>
      </c>
    </row>
    <row r="544" spans="1:7" x14ac:dyDescent="0.25">
      <c r="A544" t="s">
        <v>603</v>
      </c>
      <c r="B544" t="s">
        <v>604</v>
      </c>
      <c r="C544">
        <v>4.8</v>
      </c>
      <c r="D544">
        <v>21625</v>
      </c>
      <c r="E544" s="10">
        <v>9</v>
      </c>
      <c r="F544">
        <v>2015</v>
      </c>
      <c r="G544" t="s">
        <v>12</v>
      </c>
    </row>
    <row r="545" spans="1:7" x14ac:dyDescent="0.25">
      <c r="A545" t="s">
        <v>603</v>
      </c>
      <c r="B545" t="s">
        <v>604</v>
      </c>
      <c r="C545">
        <v>4.8</v>
      </c>
      <c r="D545">
        <v>21625</v>
      </c>
      <c r="E545" s="10">
        <v>9</v>
      </c>
      <c r="F545">
        <v>2016</v>
      </c>
      <c r="G545" t="s">
        <v>12</v>
      </c>
    </row>
    <row r="546" spans="1:7" x14ac:dyDescent="0.25">
      <c r="A546" t="s">
        <v>603</v>
      </c>
      <c r="B546" t="s">
        <v>604</v>
      </c>
      <c r="C546">
        <v>4.8</v>
      </c>
      <c r="D546">
        <v>21625</v>
      </c>
      <c r="E546" s="10">
        <v>9</v>
      </c>
      <c r="F546">
        <v>2017</v>
      </c>
      <c r="G546" t="s">
        <v>12</v>
      </c>
    </row>
    <row r="547" spans="1:7" x14ac:dyDescent="0.25">
      <c r="A547" t="s">
        <v>605</v>
      </c>
      <c r="B547" t="s">
        <v>80</v>
      </c>
      <c r="C547">
        <v>4.9000000000000004</v>
      </c>
      <c r="D547">
        <v>9413</v>
      </c>
      <c r="E547" s="10">
        <v>8</v>
      </c>
      <c r="F547">
        <v>2019</v>
      </c>
      <c r="G547" t="s">
        <v>12</v>
      </c>
    </row>
    <row r="548" spans="1:7" x14ac:dyDescent="0.25">
      <c r="A548" t="s">
        <v>606</v>
      </c>
      <c r="B548" t="s">
        <v>607</v>
      </c>
      <c r="C548">
        <v>4.7</v>
      </c>
      <c r="D548">
        <v>14331</v>
      </c>
      <c r="E548" s="10">
        <v>8</v>
      </c>
      <c r="F548">
        <v>2016</v>
      </c>
      <c r="G548" t="s">
        <v>9</v>
      </c>
    </row>
    <row r="549" spans="1:7" x14ac:dyDescent="0.25">
      <c r="A549" t="s">
        <v>606</v>
      </c>
      <c r="B549" t="s">
        <v>607</v>
      </c>
      <c r="C549">
        <v>4.7</v>
      </c>
      <c r="D549">
        <v>14331</v>
      </c>
      <c r="E549" s="10">
        <v>8</v>
      </c>
      <c r="F549">
        <v>2017</v>
      </c>
      <c r="G549" t="s">
        <v>9</v>
      </c>
    </row>
    <row r="550" spans="1:7" x14ac:dyDescent="0.25">
      <c r="A550" t="s">
        <v>606</v>
      </c>
      <c r="B550" t="s">
        <v>607</v>
      </c>
      <c r="C550">
        <v>4.7</v>
      </c>
      <c r="D550">
        <v>14331</v>
      </c>
      <c r="E550" s="10">
        <v>8</v>
      </c>
      <c r="F550">
        <v>2018</v>
      </c>
      <c r="G550" t="s">
        <v>9</v>
      </c>
    </row>
    <row r="551" spans="1:7" x14ac:dyDescent="0.25">
      <c r="A551" t="s">
        <v>606</v>
      </c>
      <c r="B551" t="s">
        <v>607</v>
      </c>
      <c r="C551">
        <v>4.7</v>
      </c>
      <c r="D551">
        <v>14331</v>
      </c>
      <c r="E551" s="10">
        <v>8</v>
      </c>
      <c r="F551">
        <v>2019</v>
      </c>
      <c r="G551" t="s">
        <v>9</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4C04-1385-4125-9EE7-AF5B0ACDF8CD}">
  <dimension ref="A2:SK373"/>
  <sheetViews>
    <sheetView workbookViewId="0">
      <selection activeCell="G20" sqref="G20"/>
    </sheetView>
  </sheetViews>
  <sheetFormatPr defaultRowHeight="15" x14ac:dyDescent="0.25"/>
  <cols>
    <col min="1" max="1" width="13.42578125" style="2" bestFit="1" customWidth="1"/>
    <col min="2" max="2" width="14.140625" style="2" bestFit="1" customWidth="1"/>
    <col min="3" max="4" width="9.140625" style="2"/>
    <col min="5" max="5" width="14.28515625" style="2" bestFit="1" customWidth="1"/>
    <col min="6" max="6" width="17.7109375" style="2" customWidth="1"/>
    <col min="7" max="7" width="20.28515625" style="2" customWidth="1"/>
    <col min="8" max="8" width="15.28515625" style="2" bestFit="1" customWidth="1"/>
    <col min="9" max="10" width="15.5703125" style="2" bestFit="1" customWidth="1"/>
    <col min="11" max="11" width="9.140625" style="2"/>
    <col min="12" max="12" width="26.5703125" style="2" bestFit="1" customWidth="1"/>
    <col min="13" max="13" width="26.42578125" style="2" bestFit="1" customWidth="1"/>
    <col min="14" max="14" width="11.28515625" style="2" bestFit="1" customWidth="1"/>
    <col min="15" max="15" width="16.28515625" style="2" bestFit="1" customWidth="1"/>
    <col min="16" max="16" width="13.28515625" style="2" bestFit="1" customWidth="1"/>
    <col min="17" max="17" width="10.5703125" style="2" bestFit="1" customWidth="1"/>
    <col min="18" max="18" width="30.5703125" style="2" bestFit="1" customWidth="1"/>
    <col min="19" max="19" width="33" style="2" bestFit="1" customWidth="1"/>
    <col min="20" max="20" width="12.5703125" style="2" bestFit="1" customWidth="1"/>
    <col min="21" max="21" width="11.28515625" style="2" bestFit="1" customWidth="1"/>
    <col min="22" max="22" width="11.85546875" style="2" bestFit="1" customWidth="1"/>
    <col min="23" max="23" width="10.28515625" style="2" bestFit="1" customWidth="1"/>
    <col min="24" max="24" width="11.5703125" style="2" bestFit="1" customWidth="1"/>
    <col min="25" max="25" width="13.5703125" style="2" bestFit="1" customWidth="1"/>
    <col min="26" max="26" width="13.28515625" style="2" bestFit="1" customWidth="1"/>
    <col min="27" max="27" width="17.5703125" style="2" bestFit="1" customWidth="1"/>
    <col min="28" max="28" width="17.28515625" style="2" bestFit="1" customWidth="1"/>
    <col min="29" max="29" width="14.140625" style="2" bestFit="1" customWidth="1"/>
    <col min="30" max="30" width="13.5703125" style="2" bestFit="1" customWidth="1"/>
    <col min="31" max="31" width="18.85546875" style="2" bestFit="1" customWidth="1"/>
    <col min="32" max="32" width="10.42578125" style="2" bestFit="1" customWidth="1"/>
    <col min="33" max="33" width="23" style="2" bestFit="1" customWidth="1"/>
    <col min="34" max="34" width="12.5703125" style="2" bestFit="1" customWidth="1"/>
    <col min="35" max="35" width="11.140625" style="2" bestFit="1" customWidth="1"/>
    <col min="36" max="36" width="12.42578125" style="2" bestFit="1" customWidth="1"/>
    <col min="37" max="37" width="16.85546875" style="2" bestFit="1" customWidth="1"/>
    <col min="38" max="38" width="14.7109375" style="2" bestFit="1" customWidth="1"/>
    <col min="39" max="39" width="15.85546875" style="2" bestFit="1" customWidth="1"/>
    <col min="40" max="40" width="12.42578125" style="2" bestFit="1" customWidth="1"/>
    <col min="41" max="41" width="14.5703125" style="2" bestFit="1" customWidth="1"/>
    <col min="42" max="42" width="17.28515625" style="2" bestFit="1" customWidth="1"/>
    <col min="43" max="43" width="14" style="2" bestFit="1" customWidth="1"/>
    <col min="44" max="44" width="10.5703125" style="2" bestFit="1" customWidth="1"/>
    <col min="45" max="45" width="15.140625" style="2" bestFit="1" customWidth="1"/>
    <col min="46" max="46" width="14.28515625" style="2" bestFit="1" customWidth="1"/>
    <col min="47" max="47" width="20.42578125" style="2" bestFit="1" customWidth="1"/>
    <col min="48" max="48" width="14" style="2" bestFit="1" customWidth="1"/>
    <col min="49" max="49" width="11.42578125" style="2" bestFit="1" customWidth="1"/>
    <col min="50" max="50" width="10.7109375" style="2" bestFit="1" customWidth="1"/>
    <col min="51" max="51" width="11.85546875" style="2" bestFit="1" customWidth="1"/>
    <col min="52" max="52" width="9.7109375" style="2" bestFit="1" customWidth="1"/>
    <col min="53" max="53" width="13.85546875" style="2" bestFit="1" customWidth="1"/>
    <col min="54" max="54" width="19.5703125" style="2" bestFit="1" customWidth="1"/>
    <col min="55" max="55" width="18.28515625" style="2" bestFit="1" customWidth="1"/>
    <col min="56" max="56" width="23.7109375" style="2" bestFit="1" customWidth="1"/>
    <col min="57" max="57" width="11" style="2" bestFit="1" customWidth="1"/>
    <col min="58" max="58" width="12.7109375" style="2" bestFit="1" customWidth="1"/>
    <col min="59" max="59" width="13.42578125" style="2" bestFit="1" customWidth="1"/>
    <col min="60" max="60" width="10.5703125" style="2" bestFit="1" customWidth="1"/>
    <col min="61" max="61" width="13.42578125" style="2" bestFit="1" customWidth="1"/>
    <col min="62" max="62" width="19" style="2" bestFit="1" customWidth="1"/>
    <col min="63" max="63" width="16.7109375" style="2" bestFit="1" customWidth="1"/>
    <col min="64" max="64" width="15.7109375" style="2" bestFit="1" customWidth="1"/>
    <col min="65" max="65" width="10.140625" style="2" bestFit="1" customWidth="1"/>
    <col min="66" max="66" width="12.7109375" style="2" bestFit="1" customWidth="1"/>
    <col min="67" max="67" width="13.5703125" style="2" bestFit="1" customWidth="1"/>
    <col min="68" max="68" width="11.7109375" style="2" bestFit="1" customWidth="1"/>
    <col min="69" max="69" width="17" style="2" bestFit="1" customWidth="1"/>
    <col min="70" max="70" width="19.85546875" style="2" bestFit="1" customWidth="1"/>
    <col min="71" max="71" width="10.5703125" style="2" bestFit="1" customWidth="1"/>
    <col min="72" max="72" width="15.42578125" style="2" bestFit="1" customWidth="1"/>
    <col min="73" max="73" width="15.28515625" style="2" bestFit="1" customWidth="1"/>
    <col min="74" max="74" width="29.140625" style="2" bestFit="1" customWidth="1"/>
    <col min="75" max="75" width="12.140625" style="2" bestFit="1" customWidth="1"/>
    <col min="76" max="76" width="13.5703125" style="2" bestFit="1" customWidth="1"/>
    <col min="77" max="77" width="3.42578125" style="2" bestFit="1" customWidth="1"/>
    <col min="78" max="78" width="15.42578125" style="2" bestFit="1" customWidth="1"/>
    <col min="79" max="79" width="11.28515625" style="2" bestFit="1" customWidth="1"/>
    <col min="80" max="80" width="11.85546875" style="2" bestFit="1" customWidth="1"/>
    <col min="81" max="81" width="9" style="2" bestFit="1" customWidth="1"/>
    <col min="82" max="82" width="22.42578125" style="2" bestFit="1" customWidth="1"/>
    <col min="83" max="83" width="13.42578125" style="2" bestFit="1" customWidth="1"/>
    <col min="84" max="84" width="9.140625" style="2"/>
    <col min="85" max="85" width="15.140625" style="2" bestFit="1" customWidth="1"/>
    <col min="86" max="86" width="12.5703125" style="2" bestFit="1" customWidth="1"/>
    <col min="87" max="87" width="18.85546875" style="2" bestFit="1" customWidth="1"/>
    <col min="88" max="88" width="10.85546875" style="2" bestFit="1" customWidth="1"/>
    <col min="89" max="89" width="15.140625" style="2" bestFit="1" customWidth="1"/>
    <col min="90" max="90" width="20.5703125" style="2" bestFit="1" customWidth="1"/>
    <col min="91" max="91" width="9.140625" style="2"/>
    <col min="92" max="92" width="10.28515625" style="2" bestFit="1" customWidth="1"/>
    <col min="93" max="93" width="11.5703125" style="2" bestFit="1" customWidth="1"/>
    <col min="94" max="94" width="10.7109375" style="2" bestFit="1" customWidth="1"/>
    <col min="95" max="95" width="16.7109375" style="2" bestFit="1" customWidth="1"/>
    <col min="96" max="96" width="12" style="2" bestFit="1" customWidth="1"/>
    <col min="97" max="97" width="15.7109375" style="2" bestFit="1" customWidth="1"/>
    <col min="98" max="98" width="6.7109375" style="2" bestFit="1" customWidth="1"/>
    <col min="99" max="99" width="10.85546875" style="2" bestFit="1" customWidth="1"/>
    <col min="100" max="100" width="13.85546875" style="2" bestFit="1" customWidth="1"/>
    <col min="101" max="101" width="13.28515625" style="2" bestFit="1" customWidth="1"/>
    <col min="102" max="102" width="12.5703125" style="2" bestFit="1" customWidth="1"/>
    <col min="103" max="103" width="14" style="2" bestFit="1" customWidth="1"/>
    <col min="104" max="104" width="18.28515625" style="2" bestFit="1" customWidth="1"/>
    <col min="105" max="105" width="17.85546875" style="2" bestFit="1" customWidth="1"/>
    <col min="106" max="106" width="15.140625" style="2" bestFit="1" customWidth="1"/>
    <col min="107" max="107" width="13.5703125" style="2" bestFit="1" customWidth="1"/>
    <col min="108" max="108" width="12" style="2" bestFit="1" customWidth="1"/>
    <col min="109" max="109" width="10.85546875" style="2" bestFit="1" customWidth="1"/>
    <col min="110" max="110" width="13.28515625" style="2" bestFit="1" customWidth="1"/>
    <col min="111" max="111" width="15.42578125" style="2" bestFit="1" customWidth="1"/>
    <col min="112" max="112" width="10.5703125" style="2" bestFit="1" customWidth="1"/>
    <col min="113" max="113" width="13.42578125" style="2" bestFit="1" customWidth="1"/>
    <col min="114" max="114" width="21.7109375" style="2" bestFit="1" customWidth="1"/>
    <col min="115" max="115" width="14.7109375" style="2" bestFit="1" customWidth="1"/>
    <col min="116" max="116" width="13.140625" style="2" bestFit="1" customWidth="1"/>
    <col min="117" max="117" width="16.140625" style="2" bestFit="1" customWidth="1"/>
    <col min="118" max="118" width="10.140625" style="2" bestFit="1" customWidth="1"/>
    <col min="119" max="119" width="10.42578125" style="2" bestFit="1" customWidth="1"/>
    <col min="120" max="120" width="12" style="2" bestFit="1" customWidth="1"/>
    <col min="121" max="121" width="11.5703125" style="2" bestFit="1" customWidth="1"/>
    <col min="122" max="122" width="13.140625" style="2" bestFit="1" customWidth="1"/>
    <col min="123" max="123" width="14.28515625" style="2" bestFit="1" customWidth="1"/>
    <col min="124" max="124" width="15.5703125" style="2" bestFit="1" customWidth="1"/>
    <col min="125" max="125" width="9.28515625" style="2" bestFit="1" customWidth="1"/>
    <col min="126" max="126" width="13.7109375" style="2" bestFit="1" customWidth="1"/>
    <col min="127" max="127" width="10.85546875" style="2" bestFit="1" customWidth="1"/>
    <col min="128" max="128" width="11" style="2" bestFit="1" customWidth="1"/>
    <col min="129" max="129" width="14" style="2" bestFit="1" customWidth="1"/>
    <col min="130" max="130" width="8.7109375" style="2" bestFit="1" customWidth="1"/>
    <col min="131" max="131" width="10.42578125" style="2" bestFit="1" customWidth="1"/>
    <col min="132" max="132" width="8" style="2" bestFit="1" customWidth="1"/>
    <col min="133" max="133" width="13.7109375" style="2" bestFit="1" customWidth="1"/>
    <col min="134" max="134" width="16.42578125" style="2" bestFit="1" customWidth="1"/>
    <col min="135" max="135" width="15.5703125" style="2" bestFit="1" customWidth="1"/>
    <col min="136" max="136" width="11" style="2" bestFit="1" customWidth="1"/>
    <col min="137" max="137" width="12.85546875" style="2" bestFit="1" customWidth="1"/>
    <col min="138" max="138" width="15.42578125" style="2" bestFit="1" customWidth="1"/>
    <col min="139" max="139" width="13.140625" style="2" bestFit="1" customWidth="1"/>
    <col min="140" max="140" width="11.28515625" style="2" bestFit="1" customWidth="1"/>
    <col min="141" max="141" width="14" style="2" bestFit="1" customWidth="1"/>
    <col min="142" max="142" width="17.7109375" style="2" bestFit="1" customWidth="1"/>
    <col min="143" max="143" width="10" style="2" bestFit="1" customWidth="1"/>
    <col min="144" max="144" width="13.7109375" style="2" bestFit="1" customWidth="1"/>
    <col min="145" max="145" width="15.7109375" style="2" bestFit="1" customWidth="1"/>
    <col min="146" max="146" width="13.7109375" style="2" bestFit="1" customWidth="1"/>
    <col min="147" max="147" width="10.7109375" style="2" bestFit="1" customWidth="1"/>
    <col min="148" max="148" width="11.28515625" style="2" bestFit="1" customWidth="1"/>
    <col min="149" max="149" width="15.28515625" style="2" bestFit="1" customWidth="1"/>
    <col min="150" max="150" width="14" style="2" bestFit="1" customWidth="1"/>
    <col min="151" max="151" width="15.5703125" style="2" bestFit="1" customWidth="1"/>
    <col min="152" max="152" width="16.7109375" style="2" bestFit="1" customWidth="1"/>
    <col min="153" max="153" width="15.42578125" style="2" bestFit="1" customWidth="1"/>
    <col min="154" max="154" width="19" style="2" bestFit="1" customWidth="1"/>
    <col min="155" max="156" width="13.85546875" style="2" bestFit="1" customWidth="1"/>
    <col min="157" max="157" width="17.42578125" style="2" bestFit="1" customWidth="1"/>
    <col min="158" max="158" width="17" style="2" bestFit="1" customWidth="1"/>
    <col min="159" max="159" width="16.5703125" style="2" bestFit="1" customWidth="1"/>
    <col min="160" max="160" width="20.28515625" style="2" bestFit="1" customWidth="1"/>
    <col min="161" max="161" width="12.28515625" style="2" bestFit="1" customWidth="1"/>
    <col min="162" max="162" width="14.7109375" style="2" bestFit="1" customWidth="1"/>
    <col min="163" max="163" width="16.7109375" style="2" bestFit="1" customWidth="1"/>
    <col min="164" max="164" width="12.85546875" style="2" bestFit="1" customWidth="1"/>
    <col min="165" max="165" width="11.140625" style="2" bestFit="1" customWidth="1"/>
    <col min="166" max="166" width="12.7109375" style="2" bestFit="1" customWidth="1"/>
    <col min="167" max="167" width="11.140625" style="2" bestFit="1" customWidth="1"/>
    <col min="168" max="168" width="12.85546875" style="2" bestFit="1" customWidth="1"/>
    <col min="169" max="169" width="12" style="2" bestFit="1" customWidth="1"/>
    <col min="170" max="170" width="16.42578125" style="2" bestFit="1" customWidth="1"/>
    <col min="171" max="171" width="15.140625" style="2" bestFit="1" customWidth="1"/>
    <col min="172" max="172" width="21" style="2" bestFit="1" customWidth="1"/>
    <col min="173" max="173" width="13.5703125" style="2" bestFit="1" customWidth="1"/>
    <col min="174" max="174" width="14.140625" style="2" bestFit="1" customWidth="1"/>
    <col min="175" max="175" width="13.5703125" style="2" bestFit="1" customWidth="1"/>
    <col min="176" max="176" width="15.5703125" style="2" bestFit="1" customWidth="1"/>
    <col min="177" max="177" width="12.85546875" style="2" bestFit="1" customWidth="1"/>
    <col min="178" max="178" width="12.28515625" style="2" bestFit="1" customWidth="1"/>
    <col min="179" max="179" width="14.28515625" style="2" bestFit="1" customWidth="1"/>
    <col min="180" max="180" width="16" style="2" bestFit="1" customWidth="1"/>
    <col min="181" max="181" width="14.7109375" style="2" bestFit="1" customWidth="1"/>
    <col min="182" max="182" width="23.5703125" style="2" bestFit="1" customWidth="1"/>
    <col min="183" max="183" width="19.140625" style="2" bestFit="1" customWidth="1"/>
    <col min="184" max="184" width="17.5703125" style="2" bestFit="1" customWidth="1"/>
    <col min="185" max="185" width="15" style="2" bestFit="1" customWidth="1"/>
    <col min="186" max="186" width="13.85546875" style="2" bestFit="1" customWidth="1"/>
    <col min="187" max="187" width="13.28515625" style="2" bestFit="1" customWidth="1"/>
    <col min="188" max="188" width="13.85546875" style="2" bestFit="1" customWidth="1"/>
    <col min="189" max="189" width="12.42578125" style="2" bestFit="1" customWidth="1"/>
    <col min="190" max="190" width="12.7109375" style="2" bestFit="1" customWidth="1"/>
    <col min="191" max="191" width="10.7109375" style="2" bestFit="1" customWidth="1"/>
    <col min="192" max="192" width="15.28515625" style="2" bestFit="1" customWidth="1"/>
    <col min="193" max="193" width="14.140625" style="2" bestFit="1" customWidth="1"/>
    <col min="194" max="194" width="12.42578125" style="2" bestFit="1" customWidth="1"/>
    <col min="195" max="195" width="18.42578125" style="2" bestFit="1" customWidth="1"/>
    <col min="196" max="196" width="11.140625" style="2" bestFit="1" customWidth="1"/>
    <col min="197" max="197" width="12.28515625" style="2" bestFit="1" customWidth="1"/>
    <col min="198" max="198" width="16.5703125" style="2" bestFit="1" customWidth="1"/>
    <col min="199" max="199" width="15.140625" style="2" bestFit="1" customWidth="1"/>
    <col min="200" max="200" width="13.140625" style="2" bestFit="1" customWidth="1"/>
    <col min="201" max="201" width="12.5703125" style="2" bestFit="1" customWidth="1"/>
    <col min="202" max="202" width="14.42578125" style="2" bestFit="1" customWidth="1"/>
    <col min="203" max="203" width="15" style="2" bestFit="1" customWidth="1"/>
    <col min="204" max="204" width="9.85546875" style="2" bestFit="1" customWidth="1"/>
    <col min="205" max="205" width="11.85546875" style="2" bestFit="1" customWidth="1"/>
    <col min="206" max="206" width="8.28515625" style="2" bestFit="1" customWidth="1"/>
    <col min="207" max="207" width="10.140625" style="2" bestFit="1" customWidth="1"/>
    <col min="208" max="208" width="13.42578125" style="2" bestFit="1" customWidth="1"/>
    <col min="209" max="209" width="14.42578125" style="2" bestFit="1" customWidth="1"/>
    <col min="210" max="210" width="13.42578125" style="2" bestFit="1" customWidth="1"/>
    <col min="211" max="211" width="12.28515625" style="2" bestFit="1" customWidth="1"/>
    <col min="212" max="212" width="12.85546875" style="2" bestFit="1" customWidth="1"/>
    <col min="213" max="213" width="9.42578125" style="2" bestFit="1" customWidth="1"/>
    <col min="214" max="214" width="14.42578125" style="2" bestFit="1" customWidth="1"/>
    <col min="215" max="215" width="12.7109375" style="2" bestFit="1" customWidth="1"/>
    <col min="216" max="216" width="15" style="2" bestFit="1" customWidth="1"/>
    <col min="217" max="217" width="10.5703125" style="2" bestFit="1" customWidth="1"/>
    <col min="218" max="218" width="10.7109375" style="2" bestFit="1" customWidth="1"/>
    <col min="219" max="219" width="11.7109375" style="2" bestFit="1" customWidth="1"/>
    <col min="220" max="220" width="12.28515625" style="2" bestFit="1" customWidth="1"/>
    <col min="221" max="221" width="9.7109375" style="2" bestFit="1" customWidth="1"/>
    <col min="222" max="222" width="11.7109375" style="2" bestFit="1" customWidth="1"/>
    <col min="223" max="223" width="19.5703125" style="2" bestFit="1" customWidth="1"/>
    <col min="224" max="224" width="15.42578125" style="2" bestFit="1" customWidth="1"/>
    <col min="225" max="225" width="9.140625" style="2"/>
    <col min="226" max="226" width="16.7109375" style="2" bestFit="1" customWidth="1"/>
    <col min="227" max="227" width="12.7109375" style="2" bestFit="1" customWidth="1"/>
    <col min="228" max="228" width="16.5703125" style="2" bestFit="1" customWidth="1"/>
    <col min="229" max="229" width="16.42578125" style="2" bestFit="1" customWidth="1"/>
    <col min="230" max="230" width="12.5703125" style="2" bestFit="1" customWidth="1"/>
    <col min="231" max="231" width="15" style="2" bestFit="1" customWidth="1"/>
    <col min="232" max="232" width="12.42578125" style="2" bestFit="1" customWidth="1"/>
    <col min="233" max="233" width="10.42578125" style="2" bestFit="1" customWidth="1"/>
    <col min="234" max="234" width="15" style="2" bestFit="1" customWidth="1"/>
    <col min="235" max="235" width="16" style="2" bestFit="1" customWidth="1"/>
    <col min="236" max="236" width="13.85546875" style="2" bestFit="1" customWidth="1"/>
    <col min="237" max="237" width="17" style="2" bestFit="1" customWidth="1"/>
    <col min="238" max="238" width="17.28515625" style="2" bestFit="1" customWidth="1"/>
    <col min="239" max="239" width="29.28515625" style="2" bestFit="1" customWidth="1"/>
    <col min="240" max="240" width="19.85546875" style="2" bestFit="1" customWidth="1"/>
    <col min="241" max="241" width="16.85546875" style="2" bestFit="1" customWidth="1"/>
    <col min="242" max="242" width="14.7109375" style="2" bestFit="1" customWidth="1"/>
    <col min="243" max="243" width="12.42578125" style="2" bestFit="1" customWidth="1"/>
    <col min="244" max="244" width="14.7109375" style="2" bestFit="1" customWidth="1"/>
    <col min="245" max="245" width="8.28515625" style="2" bestFit="1" customWidth="1"/>
    <col min="246" max="246" width="11.140625" style="2" bestFit="1" customWidth="1"/>
    <col min="247" max="247" width="10.7109375" style="2" bestFit="1" customWidth="1"/>
    <col min="248" max="248" width="14" style="2" bestFit="1" customWidth="1"/>
    <col min="249" max="249" width="13.5703125" style="2" bestFit="1" customWidth="1"/>
    <col min="250" max="250" width="17" style="2" bestFit="1" customWidth="1"/>
    <col min="251" max="251" width="15" style="2" bestFit="1" customWidth="1"/>
    <col min="252" max="252" width="13.140625" style="2" bestFit="1" customWidth="1"/>
    <col min="253" max="253" width="16" style="2" bestFit="1" customWidth="1"/>
    <col min="254" max="254" width="17.5703125" style="2" bestFit="1" customWidth="1"/>
    <col min="255" max="255" width="12.140625" style="2" bestFit="1" customWidth="1"/>
    <col min="256" max="256" width="11.140625" style="2" bestFit="1" customWidth="1"/>
    <col min="257" max="258" width="15.5703125" style="2" bestFit="1" customWidth="1"/>
    <col min="259" max="259" width="9.140625" style="2"/>
    <col min="260" max="260" width="26.5703125" style="2" bestFit="1" customWidth="1"/>
    <col min="261" max="261" width="26.42578125" style="2" bestFit="1" customWidth="1"/>
    <col min="262" max="262" width="11.28515625" style="2" bestFit="1" customWidth="1"/>
    <col min="263" max="263" width="16.28515625" style="2" bestFit="1" customWidth="1"/>
    <col min="264" max="264" width="13.28515625" style="2" bestFit="1" customWidth="1"/>
    <col min="265" max="265" width="10.5703125" style="2" bestFit="1" customWidth="1"/>
    <col min="266" max="266" width="30.5703125" style="2" bestFit="1" customWidth="1"/>
    <col min="267" max="267" width="33" style="2" bestFit="1" customWidth="1"/>
    <col min="268" max="268" width="12.5703125" style="2" bestFit="1" customWidth="1"/>
    <col min="269" max="269" width="11.28515625" style="2" bestFit="1" customWidth="1"/>
    <col min="270" max="270" width="11.85546875" style="2" bestFit="1" customWidth="1"/>
    <col min="271" max="271" width="10.28515625" style="2" bestFit="1" customWidth="1"/>
    <col min="272" max="272" width="11.5703125" style="2" bestFit="1" customWidth="1"/>
    <col min="273" max="273" width="13.5703125" style="2" bestFit="1" customWidth="1"/>
    <col min="274" max="274" width="13.28515625" style="2" bestFit="1" customWidth="1"/>
    <col min="275" max="275" width="17.5703125" style="2" bestFit="1" customWidth="1"/>
    <col min="276" max="276" width="17.28515625" style="2" bestFit="1" customWidth="1"/>
    <col min="277" max="277" width="14.140625" style="2" bestFit="1" customWidth="1"/>
    <col min="278" max="278" width="13.5703125" style="2" bestFit="1" customWidth="1"/>
    <col min="279" max="279" width="18.85546875" style="2" bestFit="1" customWidth="1"/>
    <col min="280" max="280" width="10.42578125" style="2" bestFit="1" customWidth="1"/>
    <col min="281" max="281" width="23" style="2" bestFit="1" customWidth="1"/>
    <col min="282" max="282" width="12.5703125" style="2" bestFit="1" customWidth="1"/>
    <col min="283" max="283" width="11.140625" style="2" bestFit="1" customWidth="1"/>
    <col min="284" max="284" width="12.42578125" style="2" bestFit="1" customWidth="1"/>
    <col min="285" max="285" width="16.85546875" style="2" bestFit="1" customWidth="1"/>
    <col min="286" max="286" width="14.7109375" style="2" bestFit="1" customWidth="1"/>
    <col min="287" max="287" width="15.85546875" style="2" bestFit="1" customWidth="1"/>
    <col min="288" max="288" width="12.42578125" style="2" bestFit="1" customWidth="1"/>
    <col min="289" max="289" width="14.5703125" style="2" bestFit="1" customWidth="1"/>
    <col min="290" max="290" width="17.28515625" style="2" bestFit="1" customWidth="1"/>
    <col min="291" max="291" width="14" style="2" bestFit="1" customWidth="1"/>
    <col min="292" max="292" width="10.5703125" style="2" bestFit="1" customWidth="1"/>
    <col min="293" max="293" width="15.140625" style="2" bestFit="1" customWidth="1"/>
    <col min="294" max="294" width="14.28515625" style="2" bestFit="1" customWidth="1"/>
    <col min="295" max="295" width="20.42578125" style="2" bestFit="1" customWidth="1"/>
    <col min="296" max="296" width="14" style="2" bestFit="1" customWidth="1"/>
    <col min="297" max="297" width="11.42578125" style="2" bestFit="1" customWidth="1"/>
    <col min="298" max="298" width="10.7109375" style="2" bestFit="1" customWidth="1"/>
    <col min="299" max="299" width="11.85546875" style="2" bestFit="1" customWidth="1"/>
    <col min="300" max="300" width="9.7109375" style="2" bestFit="1" customWidth="1"/>
    <col min="301" max="301" width="13.85546875" style="2" bestFit="1" customWidth="1"/>
    <col min="302" max="302" width="19.5703125" style="2" bestFit="1" customWidth="1"/>
    <col min="303" max="303" width="18.28515625" style="2" bestFit="1" customWidth="1"/>
    <col min="304" max="304" width="23.7109375" style="2" bestFit="1" customWidth="1"/>
    <col min="305" max="305" width="11" style="2" bestFit="1" customWidth="1"/>
    <col min="306" max="306" width="12.7109375" style="2" bestFit="1" customWidth="1"/>
    <col min="307" max="307" width="13.42578125" style="2" bestFit="1" customWidth="1"/>
    <col min="308" max="308" width="10.5703125" style="2" bestFit="1" customWidth="1"/>
    <col min="309" max="309" width="13.42578125" style="2" bestFit="1" customWidth="1"/>
    <col min="310" max="310" width="19" style="2" bestFit="1" customWidth="1"/>
    <col min="311" max="311" width="16.7109375" style="2" bestFit="1" customWidth="1"/>
    <col min="312" max="312" width="15.7109375" style="2" bestFit="1" customWidth="1"/>
    <col min="313" max="313" width="10.140625" style="2" bestFit="1" customWidth="1"/>
    <col min="314" max="314" width="12.7109375" style="2" bestFit="1" customWidth="1"/>
    <col min="315" max="315" width="13.5703125" style="2" bestFit="1" customWidth="1"/>
    <col min="316" max="316" width="11.7109375" style="2" bestFit="1" customWidth="1"/>
    <col min="317" max="317" width="17" style="2" bestFit="1" customWidth="1"/>
    <col min="318" max="318" width="19.85546875" style="2" bestFit="1" customWidth="1"/>
    <col min="319" max="319" width="10.5703125" style="2" bestFit="1" customWidth="1"/>
    <col min="320" max="320" width="15.42578125" style="2" bestFit="1" customWidth="1"/>
    <col min="321" max="321" width="15.28515625" style="2" bestFit="1" customWidth="1"/>
    <col min="322" max="322" width="29.140625" style="2" bestFit="1" customWidth="1"/>
    <col min="323" max="323" width="12.140625" style="2" bestFit="1" customWidth="1"/>
    <col min="324" max="324" width="13.5703125" style="2" bestFit="1" customWidth="1"/>
    <col min="325" max="325" width="3.42578125" style="2" bestFit="1" customWidth="1"/>
    <col min="326" max="326" width="15.42578125" style="2" bestFit="1" customWidth="1"/>
    <col min="327" max="327" width="11.28515625" style="2" bestFit="1" customWidth="1"/>
    <col min="328" max="328" width="11.85546875" style="2" bestFit="1" customWidth="1"/>
    <col min="329" max="329" width="9" style="2" bestFit="1" customWidth="1"/>
    <col min="330" max="330" width="22.42578125" style="2" bestFit="1" customWidth="1"/>
    <col min="331" max="331" width="13.42578125" style="2" bestFit="1" customWidth="1"/>
    <col min="332" max="332" width="9.140625" style="2"/>
    <col min="333" max="333" width="15.140625" style="2" bestFit="1" customWidth="1"/>
    <col min="334" max="334" width="12.5703125" style="2" bestFit="1" customWidth="1"/>
    <col min="335" max="335" width="18.85546875" style="2" bestFit="1" customWidth="1"/>
    <col min="336" max="336" width="10.85546875" style="2" bestFit="1" customWidth="1"/>
    <col min="337" max="337" width="15.140625" style="2" bestFit="1" customWidth="1"/>
    <col min="338" max="338" width="20.5703125" style="2" bestFit="1" customWidth="1"/>
    <col min="339" max="339" width="9.140625" style="2"/>
    <col min="340" max="340" width="10.28515625" style="2" bestFit="1" customWidth="1"/>
    <col min="341" max="341" width="11.5703125" style="2" bestFit="1" customWidth="1"/>
    <col min="342" max="342" width="10.7109375" style="2" bestFit="1" customWidth="1"/>
    <col min="343" max="343" width="16.7109375" style="2" bestFit="1" customWidth="1"/>
    <col min="344" max="344" width="12" style="2" bestFit="1" customWidth="1"/>
    <col min="345" max="345" width="15.7109375" style="2" bestFit="1" customWidth="1"/>
    <col min="346" max="346" width="6.7109375" style="2" bestFit="1" customWidth="1"/>
    <col min="347" max="347" width="10.85546875" style="2" bestFit="1" customWidth="1"/>
    <col min="348" max="348" width="13.85546875" style="2" bestFit="1" customWidth="1"/>
    <col min="349" max="349" width="13.28515625" style="2" bestFit="1" customWidth="1"/>
    <col min="350" max="350" width="12.5703125" style="2" bestFit="1" customWidth="1"/>
    <col min="351" max="351" width="14" style="2" bestFit="1" customWidth="1"/>
    <col min="352" max="352" width="18.28515625" style="2" bestFit="1" customWidth="1"/>
    <col min="353" max="353" width="17.85546875" style="2" bestFit="1" customWidth="1"/>
    <col min="354" max="354" width="15.140625" style="2" bestFit="1" customWidth="1"/>
    <col min="355" max="355" width="13.5703125" style="2" bestFit="1" customWidth="1"/>
    <col min="356" max="356" width="12" style="2" bestFit="1" customWidth="1"/>
    <col min="357" max="357" width="10.85546875" style="2" bestFit="1" customWidth="1"/>
    <col min="358" max="358" width="13.28515625" style="2" bestFit="1" customWidth="1"/>
    <col min="359" max="359" width="15.42578125" style="2" bestFit="1" customWidth="1"/>
    <col min="360" max="360" width="10.5703125" style="2" bestFit="1" customWidth="1"/>
    <col min="361" max="361" width="13.42578125" style="2" bestFit="1" customWidth="1"/>
    <col min="362" max="362" width="21.7109375" style="2" bestFit="1" customWidth="1"/>
    <col min="363" max="363" width="14.7109375" style="2" bestFit="1" customWidth="1"/>
    <col min="364" max="364" width="13.140625" style="2" bestFit="1" customWidth="1"/>
    <col min="365" max="365" width="16.140625" style="2" bestFit="1" customWidth="1"/>
    <col min="366" max="366" width="10.140625" style="2" bestFit="1" customWidth="1"/>
    <col min="367" max="367" width="10.42578125" style="2" bestFit="1" customWidth="1"/>
    <col min="368" max="368" width="12" style="2" bestFit="1" customWidth="1"/>
    <col min="369" max="369" width="11.5703125" style="2" bestFit="1" customWidth="1"/>
    <col min="370" max="370" width="13.140625" style="2" bestFit="1" customWidth="1"/>
    <col min="371" max="371" width="14.28515625" style="2" bestFit="1" customWidth="1"/>
    <col min="372" max="372" width="15.5703125" style="2" bestFit="1" customWidth="1"/>
    <col min="373" max="373" width="9.28515625" style="2" bestFit="1" customWidth="1"/>
    <col min="374" max="374" width="13.7109375" style="2" bestFit="1" customWidth="1"/>
    <col min="375" max="375" width="10.85546875" style="2" bestFit="1" customWidth="1"/>
    <col min="376" max="376" width="11" style="2" bestFit="1" customWidth="1"/>
    <col min="377" max="377" width="14" style="2" bestFit="1" customWidth="1"/>
    <col min="378" max="378" width="8.7109375" style="2" bestFit="1" customWidth="1"/>
    <col min="379" max="379" width="10.42578125" style="2" bestFit="1" customWidth="1"/>
    <col min="380" max="380" width="8" style="2" bestFit="1" customWidth="1"/>
    <col min="381" max="381" width="13.7109375" style="2" bestFit="1" customWidth="1"/>
    <col min="382" max="382" width="16.42578125" style="2" bestFit="1" customWidth="1"/>
    <col min="383" max="383" width="15.5703125" style="2" bestFit="1" customWidth="1"/>
    <col min="384" max="384" width="11" style="2" bestFit="1" customWidth="1"/>
    <col min="385" max="385" width="12.85546875" style="2" bestFit="1" customWidth="1"/>
    <col min="386" max="386" width="15.42578125" style="2" bestFit="1" customWidth="1"/>
    <col min="387" max="387" width="13.140625" style="2" bestFit="1" customWidth="1"/>
    <col min="388" max="388" width="11.28515625" style="2" bestFit="1" customWidth="1"/>
    <col min="389" max="389" width="14" style="2" bestFit="1" customWidth="1"/>
    <col min="390" max="390" width="17.7109375" style="2" bestFit="1" customWidth="1"/>
    <col min="391" max="391" width="10" style="2" bestFit="1" customWidth="1"/>
    <col min="392" max="392" width="13.7109375" style="2" bestFit="1" customWidth="1"/>
    <col min="393" max="393" width="15.7109375" style="2" bestFit="1" customWidth="1"/>
    <col min="394" max="394" width="13.7109375" style="2" bestFit="1" customWidth="1"/>
    <col min="395" max="395" width="10.7109375" style="2" bestFit="1" customWidth="1"/>
    <col min="396" max="396" width="11.28515625" style="2" bestFit="1" customWidth="1"/>
    <col min="397" max="397" width="15.28515625" style="2" bestFit="1" customWidth="1"/>
    <col min="398" max="398" width="14" style="2" bestFit="1" customWidth="1"/>
    <col min="399" max="399" width="15.5703125" style="2" bestFit="1" customWidth="1"/>
    <col min="400" max="400" width="16.7109375" style="2" bestFit="1" customWidth="1"/>
    <col min="401" max="401" width="15.42578125" style="2" bestFit="1" customWidth="1"/>
    <col min="402" max="402" width="19" style="2" bestFit="1" customWidth="1"/>
    <col min="403" max="404" width="13.85546875" style="2" bestFit="1" customWidth="1"/>
    <col min="405" max="405" width="17.42578125" style="2" bestFit="1" customWidth="1"/>
    <col min="406" max="406" width="17" style="2" bestFit="1" customWidth="1"/>
    <col min="407" max="407" width="16.5703125" style="2" bestFit="1" customWidth="1"/>
    <col min="408" max="408" width="20.28515625" style="2" bestFit="1" customWidth="1"/>
    <col min="409" max="409" width="12.28515625" style="2" bestFit="1" customWidth="1"/>
    <col min="410" max="410" width="14.7109375" style="2" bestFit="1" customWidth="1"/>
    <col min="411" max="411" width="16.7109375" style="2" bestFit="1" customWidth="1"/>
    <col min="412" max="412" width="12.85546875" style="2" bestFit="1" customWidth="1"/>
    <col min="413" max="413" width="11.140625" style="2" bestFit="1" customWidth="1"/>
    <col min="414" max="414" width="12.7109375" style="2" bestFit="1" customWidth="1"/>
    <col min="415" max="415" width="11.140625" style="2" bestFit="1" customWidth="1"/>
    <col min="416" max="416" width="12.85546875" style="2" bestFit="1" customWidth="1"/>
    <col min="417" max="417" width="12" style="2" bestFit="1" customWidth="1"/>
    <col min="418" max="418" width="16.42578125" style="2" bestFit="1" customWidth="1"/>
    <col min="419" max="419" width="15.140625" style="2" bestFit="1" customWidth="1"/>
    <col min="420" max="420" width="21" style="2" bestFit="1" customWidth="1"/>
    <col min="421" max="421" width="13.5703125" style="2" bestFit="1" customWidth="1"/>
    <col min="422" max="422" width="14.140625" style="2" bestFit="1" customWidth="1"/>
    <col min="423" max="423" width="13.5703125" style="2" bestFit="1" customWidth="1"/>
    <col min="424" max="424" width="15.5703125" style="2" bestFit="1" customWidth="1"/>
    <col min="425" max="425" width="12.85546875" style="2" bestFit="1" customWidth="1"/>
    <col min="426" max="426" width="12.28515625" style="2" bestFit="1" customWidth="1"/>
    <col min="427" max="427" width="14.28515625" style="2" bestFit="1" customWidth="1"/>
    <col min="428" max="428" width="16" style="2" bestFit="1" customWidth="1"/>
    <col min="429" max="429" width="14.7109375" style="2" bestFit="1" customWidth="1"/>
    <col min="430" max="430" width="23.5703125" style="2" bestFit="1" customWidth="1"/>
    <col min="431" max="431" width="19.140625" style="2" bestFit="1" customWidth="1"/>
    <col min="432" max="432" width="17.5703125" style="2" bestFit="1" customWidth="1"/>
    <col min="433" max="433" width="15" style="2" bestFit="1" customWidth="1"/>
    <col min="434" max="434" width="13.85546875" style="2" bestFit="1" customWidth="1"/>
    <col min="435" max="435" width="13.28515625" style="2" bestFit="1" customWidth="1"/>
    <col min="436" max="436" width="13.85546875" style="2" bestFit="1" customWidth="1"/>
    <col min="437" max="437" width="12.42578125" style="2" bestFit="1" customWidth="1"/>
    <col min="438" max="438" width="12.7109375" style="2" bestFit="1" customWidth="1"/>
    <col min="439" max="439" width="10.7109375" style="2" bestFit="1" customWidth="1"/>
    <col min="440" max="440" width="15.28515625" style="2" bestFit="1" customWidth="1"/>
    <col min="441" max="441" width="14.140625" style="2" bestFit="1" customWidth="1"/>
    <col min="442" max="442" width="12.42578125" style="2" bestFit="1" customWidth="1"/>
    <col min="443" max="443" width="18.42578125" style="2" bestFit="1" customWidth="1"/>
    <col min="444" max="444" width="11.140625" style="2" bestFit="1" customWidth="1"/>
    <col min="445" max="445" width="12.28515625" style="2" bestFit="1" customWidth="1"/>
    <col min="446" max="446" width="16.5703125" style="2" bestFit="1" customWidth="1"/>
    <col min="447" max="447" width="15.140625" style="2" bestFit="1" customWidth="1"/>
    <col min="448" max="448" width="13.140625" style="2" bestFit="1" customWidth="1"/>
    <col min="449" max="449" width="12.5703125" style="2" bestFit="1" customWidth="1"/>
    <col min="450" max="450" width="14.42578125" style="2" bestFit="1" customWidth="1"/>
    <col min="451" max="451" width="15" style="2" bestFit="1" customWidth="1"/>
    <col min="452" max="452" width="9.85546875" style="2" bestFit="1" customWidth="1"/>
    <col min="453" max="453" width="11.85546875" style="2" bestFit="1" customWidth="1"/>
    <col min="454" max="454" width="8.28515625" style="2" bestFit="1" customWidth="1"/>
    <col min="455" max="455" width="10.140625" style="2" bestFit="1" customWidth="1"/>
    <col min="456" max="456" width="13.42578125" style="2" bestFit="1" customWidth="1"/>
    <col min="457" max="457" width="14.42578125" style="2" bestFit="1" customWidth="1"/>
    <col min="458" max="458" width="13.42578125" style="2" bestFit="1" customWidth="1"/>
    <col min="459" max="459" width="12.28515625" style="2" bestFit="1" customWidth="1"/>
    <col min="460" max="460" width="12.85546875" style="2" bestFit="1" customWidth="1"/>
    <col min="461" max="461" width="9.42578125" style="2" bestFit="1" customWidth="1"/>
    <col min="462" max="462" width="14.42578125" style="2" bestFit="1" customWidth="1"/>
    <col min="463" max="463" width="12.7109375" style="2" bestFit="1" customWidth="1"/>
    <col min="464" max="464" width="15" style="2" bestFit="1" customWidth="1"/>
    <col min="465" max="465" width="10.5703125" style="2" bestFit="1" customWidth="1"/>
    <col min="466" max="466" width="10.7109375" style="2" bestFit="1" customWidth="1"/>
    <col min="467" max="467" width="11.7109375" style="2" bestFit="1" customWidth="1"/>
    <col min="468" max="468" width="12.28515625" style="2" bestFit="1" customWidth="1"/>
    <col min="469" max="469" width="9.7109375" style="2" bestFit="1" customWidth="1"/>
    <col min="470" max="470" width="11.7109375" style="2" bestFit="1" customWidth="1"/>
    <col min="471" max="471" width="19.5703125" style="2" bestFit="1" customWidth="1"/>
    <col min="472" max="472" width="15.42578125" style="2" bestFit="1" customWidth="1"/>
    <col min="473" max="473" width="9.140625" style="2"/>
    <col min="474" max="474" width="16.7109375" style="2" bestFit="1" customWidth="1"/>
    <col min="475" max="475" width="12.7109375" style="2" bestFit="1" customWidth="1"/>
    <col min="476" max="476" width="16.5703125" style="2" bestFit="1" customWidth="1"/>
    <col min="477" max="477" width="16.42578125" style="2" bestFit="1" customWidth="1"/>
    <col min="478" max="478" width="12.5703125" style="2" bestFit="1" customWidth="1"/>
    <col min="479" max="479" width="15" style="2" bestFit="1" customWidth="1"/>
    <col min="480" max="480" width="12.42578125" style="2" bestFit="1" customWidth="1"/>
    <col min="481" max="481" width="10.42578125" style="2" bestFit="1" customWidth="1"/>
    <col min="482" max="482" width="15" style="2" bestFit="1" customWidth="1"/>
    <col min="483" max="483" width="16" style="2" bestFit="1" customWidth="1"/>
    <col min="484" max="484" width="13.85546875" style="2" bestFit="1" customWidth="1"/>
    <col min="485" max="485" width="17" style="2" bestFit="1" customWidth="1"/>
    <col min="486" max="486" width="17.28515625" style="2" bestFit="1" customWidth="1"/>
    <col min="487" max="487" width="29.28515625" style="2" bestFit="1" customWidth="1"/>
    <col min="488" max="488" width="19.85546875" style="2" bestFit="1" customWidth="1"/>
    <col min="489" max="489" width="16.85546875" style="2" bestFit="1" customWidth="1"/>
    <col min="490" max="490" width="14.7109375" style="2" bestFit="1" customWidth="1"/>
    <col min="491" max="491" width="12.42578125" style="2" bestFit="1" customWidth="1"/>
    <col min="492" max="492" width="14.7109375" style="2" bestFit="1" customWidth="1"/>
    <col min="493" max="493" width="8.28515625" style="2" bestFit="1" customWidth="1"/>
    <col min="494" max="494" width="11.140625" style="2" bestFit="1" customWidth="1"/>
    <col min="495" max="495" width="10.7109375" style="2" bestFit="1" customWidth="1"/>
    <col min="496" max="496" width="14" style="2" bestFit="1" customWidth="1"/>
    <col min="497" max="497" width="13.5703125" style="2" bestFit="1" customWidth="1"/>
    <col min="498" max="498" width="17" style="2" bestFit="1" customWidth="1"/>
    <col min="499" max="499" width="15" style="2" bestFit="1" customWidth="1"/>
    <col min="500" max="500" width="13.140625" style="2" bestFit="1" customWidth="1"/>
    <col min="501" max="501" width="16" style="2" bestFit="1" customWidth="1"/>
    <col min="502" max="502" width="17.5703125" style="2" bestFit="1" customWidth="1"/>
    <col min="503" max="503" width="12.140625" style="2" bestFit="1" customWidth="1"/>
    <col min="504" max="504" width="19.42578125" style="2" bestFit="1" customWidth="1"/>
    <col min="505" max="505" width="20.28515625" style="2" bestFit="1" customWidth="1"/>
    <col min="506" max="16384" width="9.140625" style="2"/>
  </cols>
  <sheetData>
    <row r="2" spans="1:14" ht="15.75" x14ac:dyDescent="0.25">
      <c r="A2" s="28" t="s">
        <v>609</v>
      </c>
      <c r="E2" s="2" t="s">
        <v>610</v>
      </c>
      <c r="H2" s="2" t="s">
        <v>617</v>
      </c>
    </row>
    <row r="3" spans="1:14" x14ac:dyDescent="0.25">
      <c r="A3" s="4" t="s">
        <v>608</v>
      </c>
      <c r="E3" s="27">
        <f>CORREL(Dataset!C:C,Dataset!E:E)</f>
        <v>-0.13308628728088023</v>
      </c>
      <c r="H3" s="3" t="s">
        <v>614</v>
      </c>
    </row>
    <row r="4" spans="1:14" x14ac:dyDescent="0.25">
      <c r="A4" s="26">
        <v>4.6183636363636413</v>
      </c>
      <c r="H4" s="24">
        <v>7205</v>
      </c>
    </row>
    <row r="6" spans="1:14" x14ac:dyDescent="0.25">
      <c r="A6" s="2" t="s">
        <v>612</v>
      </c>
      <c r="E6" s="2" t="s">
        <v>628</v>
      </c>
      <c r="I6" s="4"/>
      <c r="L6" s="2" t="s">
        <v>627</v>
      </c>
    </row>
    <row r="7" spans="1:14" ht="15.75" x14ac:dyDescent="0.25">
      <c r="A7" s="5" t="s">
        <v>611</v>
      </c>
      <c r="B7"/>
      <c r="C7"/>
      <c r="E7" s="14" t="s">
        <v>631</v>
      </c>
      <c r="F7" s="20" t="s">
        <v>616</v>
      </c>
      <c r="G7"/>
      <c r="K7"/>
      <c r="L7" s="6" t="s">
        <v>630</v>
      </c>
      <c r="M7" s="1" t="s">
        <v>614</v>
      </c>
      <c r="N7"/>
    </row>
    <row r="8" spans="1:14" x14ac:dyDescent="0.25">
      <c r="A8" s="25">
        <v>550</v>
      </c>
      <c r="B8"/>
      <c r="C8"/>
      <c r="E8" s="15" t="s">
        <v>88</v>
      </c>
      <c r="F8" s="21">
        <v>278329</v>
      </c>
      <c r="G8"/>
      <c r="K8"/>
      <c r="L8" s="7">
        <v>2009</v>
      </c>
      <c r="M8" s="11">
        <v>770</v>
      </c>
      <c r="N8"/>
    </row>
    <row r="9" spans="1:14" x14ac:dyDescent="0.25">
      <c r="A9"/>
      <c r="B9"/>
      <c r="C9"/>
      <c r="E9" s="16" t="s">
        <v>604</v>
      </c>
      <c r="F9" s="17">
        <v>108125</v>
      </c>
      <c r="G9"/>
      <c r="K9"/>
      <c r="L9" s="8">
        <v>2010</v>
      </c>
      <c r="M9" s="12">
        <v>674</v>
      </c>
      <c r="N9"/>
    </row>
    <row r="10" spans="1:14" x14ac:dyDescent="0.25">
      <c r="A10"/>
      <c r="B10"/>
      <c r="C10"/>
      <c r="E10" s="16" t="s">
        <v>436</v>
      </c>
      <c r="F10" s="17">
        <v>158892</v>
      </c>
      <c r="G10"/>
      <c r="H10" s="2" t="s">
        <v>629</v>
      </c>
      <c r="I10"/>
      <c r="J10"/>
      <c r="K10"/>
      <c r="L10" s="8">
        <v>2011</v>
      </c>
      <c r="M10" s="12">
        <v>755</v>
      </c>
      <c r="N10"/>
    </row>
    <row r="11" spans="1:14" x14ac:dyDescent="0.25">
      <c r="A11"/>
      <c r="B11"/>
      <c r="C11"/>
      <c r="E11" s="16" t="s">
        <v>492</v>
      </c>
      <c r="F11" s="17">
        <v>98576</v>
      </c>
      <c r="G11"/>
      <c r="H11" s="6" t="s">
        <v>613</v>
      </c>
      <c r="I11" s="1" t="s">
        <v>611</v>
      </c>
      <c r="J11"/>
      <c r="K11"/>
      <c r="L11" s="8">
        <v>2012</v>
      </c>
      <c r="M11" s="12">
        <v>765</v>
      </c>
      <c r="N11"/>
    </row>
    <row r="12" spans="1:14" x14ac:dyDescent="0.25">
      <c r="A12" s="2" t="s">
        <v>632</v>
      </c>
      <c r="C12"/>
      <c r="E12" s="16" t="s">
        <v>289</v>
      </c>
      <c r="F12" s="17">
        <v>210419</v>
      </c>
      <c r="G12"/>
      <c r="H12" s="7" t="s">
        <v>12</v>
      </c>
      <c r="I12" s="22">
        <v>240</v>
      </c>
      <c r="J12"/>
      <c r="K12"/>
      <c r="L12" s="8">
        <v>2013</v>
      </c>
      <c r="M12" s="12">
        <v>730</v>
      </c>
      <c r="N12"/>
    </row>
    <row r="13" spans="1:14" x14ac:dyDescent="0.25">
      <c r="A13" s="14" t="s">
        <v>613</v>
      </c>
      <c r="B13" s="3" t="s">
        <v>615</v>
      </c>
      <c r="C13"/>
      <c r="E13" s="16" t="s">
        <v>184</v>
      </c>
      <c r="F13" s="17">
        <v>146152</v>
      </c>
      <c r="G13"/>
      <c r="H13" s="9" t="s">
        <v>9</v>
      </c>
      <c r="I13" s="23">
        <v>310</v>
      </c>
      <c r="J13"/>
      <c r="K13"/>
      <c r="L13" s="8">
        <v>2014</v>
      </c>
      <c r="M13" s="12">
        <v>732</v>
      </c>
      <c r="N13"/>
    </row>
    <row r="14" spans="1:14" x14ac:dyDescent="0.25">
      <c r="A14" s="15" t="s">
        <v>618</v>
      </c>
      <c r="B14" s="21">
        <v>325</v>
      </c>
      <c r="C14"/>
      <c r="E14" s="16" t="s">
        <v>190</v>
      </c>
      <c r="F14" s="17">
        <v>171813</v>
      </c>
      <c r="G14"/>
      <c r="H14"/>
      <c r="I14"/>
      <c r="J14"/>
      <c r="K14"/>
      <c r="L14" s="8">
        <v>2015</v>
      </c>
      <c r="M14" s="12">
        <v>521</v>
      </c>
      <c r="N14"/>
    </row>
    <row r="15" spans="1:14" x14ac:dyDescent="0.25">
      <c r="A15" s="16" t="s">
        <v>619</v>
      </c>
      <c r="B15" s="17">
        <v>119</v>
      </c>
      <c r="C15"/>
      <c r="E15" s="16" t="s">
        <v>536</v>
      </c>
      <c r="F15" s="17">
        <v>136822</v>
      </c>
      <c r="G15"/>
      <c r="H15"/>
      <c r="I15"/>
      <c r="J15"/>
      <c r="K15"/>
      <c r="L15" s="8">
        <v>2016</v>
      </c>
      <c r="M15" s="12">
        <v>659</v>
      </c>
      <c r="N15"/>
    </row>
    <row r="16" spans="1:14" x14ac:dyDescent="0.25">
      <c r="A16" s="16" t="s">
        <v>620</v>
      </c>
      <c r="B16" s="17">
        <v>79</v>
      </c>
      <c r="C16"/>
      <c r="E16" s="16" t="s">
        <v>157</v>
      </c>
      <c r="F16" s="17">
        <v>178011</v>
      </c>
      <c r="G16"/>
      <c r="H16"/>
      <c r="I16"/>
      <c r="J16"/>
      <c r="K16"/>
      <c r="L16" s="8">
        <v>2017</v>
      </c>
      <c r="M16" s="12">
        <v>569</v>
      </c>
      <c r="N16"/>
    </row>
    <row r="17" spans="1:505" x14ac:dyDescent="0.25">
      <c r="A17" s="16" t="s">
        <v>621</v>
      </c>
      <c r="B17" s="17">
        <v>11</v>
      </c>
      <c r="C17"/>
      <c r="E17" s="18" t="s">
        <v>319</v>
      </c>
      <c r="F17" s="19">
        <v>176545</v>
      </c>
      <c r="G17"/>
      <c r="H17"/>
      <c r="I17"/>
      <c r="J17"/>
      <c r="K17"/>
      <c r="L17" s="8">
        <v>2018</v>
      </c>
      <c r="M17" s="12">
        <v>526</v>
      </c>
      <c r="N17"/>
    </row>
    <row r="18" spans="1:505" x14ac:dyDescent="0.25">
      <c r="A18" s="16" t="s">
        <v>622</v>
      </c>
      <c r="B18" s="17">
        <v>4</v>
      </c>
      <c r="C18"/>
      <c r="G18"/>
      <c r="H18"/>
      <c r="I18"/>
      <c r="J18"/>
      <c r="K18"/>
      <c r="L18" s="9">
        <v>2019</v>
      </c>
      <c r="M18" s="13">
        <v>504</v>
      </c>
      <c r="N18"/>
    </row>
    <row r="19" spans="1:505" x14ac:dyDescent="0.25">
      <c r="A19" s="16" t="s">
        <v>623</v>
      </c>
      <c r="B19" s="17">
        <v>7</v>
      </c>
      <c r="C19"/>
      <c r="E19"/>
      <c r="F19"/>
      <c r="G19"/>
      <c r="H19"/>
      <c r="I19"/>
      <c r="J19"/>
      <c r="K19"/>
      <c r="L19"/>
      <c r="M19"/>
      <c r="N19"/>
    </row>
    <row r="20" spans="1:505" x14ac:dyDescent="0.25">
      <c r="A20" s="16" t="s">
        <v>624</v>
      </c>
      <c r="B20" s="17">
        <v>2</v>
      </c>
      <c r="C20"/>
      <c r="E20"/>
      <c r="F20"/>
      <c r="G20"/>
      <c r="H20"/>
      <c r="I20"/>
      <c r="J20"/>
      <c r="K20"/>
      <c r="L20"/>
      <c r="M20"/>
      <c r="N20"/>
    </row>
    <row r="21" spans="1:505" x14ac:dyDescent="0.25">
      <c r="A21" s="16" t="s">
        <v>625</v>
      </c>
      <c r="B21" s="17">
        <v>2</v>
      </c>
      <c r="C21"/>
      <c r="E21"/>
      <c r="F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row>
    <row r="22" spans="1:505" x14ac:dyDescent="0.25">
      <c r="A22" s="18" t="s">
        <v>626</v>
      </c>
      <c r="B22" s="19">
        <v>1</v>
      </c>
      <c r="C22"/>
      <c r="E22"/>
      <c r="F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row>
    <row r="23" spans="1:505" x14ac:dyDescent="0.25">
      <c r="A23"/>
      <c r="B23"/>
      <c r="C23"/>
      <c r="E23"/>
      <c r="F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row>
    <row r="24" spans="1:505" x14ac:dyDescent="0.25">
      <c r="A24"/>
      <c r="B24"/>
      <c r="C24"/>
      <c r="E24"/>
      <c r="F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row>
    <row r="25" spans="1:505" x14ac:dyDescent="0.25">
      <c r="A25"/>
      <c r="B25"/>
      <c r="C25"/>
      <c r="E25"/>
      <c r="F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row>
    <row r="26" spans="1:505" x14ac:dyDescent="0.25">
      <c r="A26"/>
      <c r="B26"/>
      <c r="C26"/>
      <c r="E26"/>
      <c r="F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row>
    <row r="27" spans="1:505" x14ac:dyDescent="0.25">
      <c r="A27"/>
      <c r="B27"/>
      <c r="C27"/>
      <c r="E27"/>
      <c r="F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row>
    <row r="28" spans="1:505" x14ac:dyDescent="0.25">
      <c r="A28"/>
      <c r="B28"/>
      <c r="C28"/>
      <c r="E28"/>
      <c r="F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row>
    <row r="29" spans="1:505" x14ac:dyDescent="0.25">
      <c r="A29"/>
      <c r="B29"/>
      <c r="C29"/>
      <c r="E29"/>
      <c r="F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row>
    <row r="30" spans="1:505" x14ac:dyDescent="0.25">
      <c r="A30"/>
      <c r="B30"/>
      <c r="C30"/>
      <c r="E30"/>
      <c r="F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row>
    <row r="31" spans="1:505" x14ac:dyDescent="0.25">
      <c r="A31"/>
      <c r="B31"/>
      <c r="E31"/>
      <c r="F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row>
    <row r="32" spans="1:505" x14ac:dyDescent="0.25">
      <c r="A32"/>
      <c r="B32"/>
      <c r="E32"/>
      <c r="F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row>
    <row r="33" spans="1:505" x14ac:dyDescent="0.25">
      <c r="A33"/>
      <c r="B33"/>
      <c r="E33"/>
      <c r="F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row>
    <row r="34" spans="1:505" x14ac:dyDescent="0.25">
      <c r="A34"/>
      <c r="B34"/>
      <c r="E34"/>
      <c r="F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row>
    <row r="35" spans="1:505" x14ac:dyDescent="0.25">
      <c r="A35"/>
      <c r="B35"/>
      <c r="E35"/>
      <c r="F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row>
    <row r="36" spans="1:505" x14ac:dyDescent="0.25">
      <c r="A36"/>
      <c r="B36"/>
      <c r="E36"/>
      <c r="F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row>
    <row r="37" spans="1:505" x14ac:dyDescent="0.25">
      <c r="A37"/>
      <c r="B37"/>
      <c r="E37"/>
      <c r="F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row>
    <row r="38" spans="1:505" x14ac:dyDescent="0.25">
      <c r="A38"/>
      <c r="B38"/>
      <c r="E38"/>
      <c r="F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row>
    <row r="39" spans="1:505" x14ac:dyDescent="0.25">
      <c r="A39"/>
      <c r="B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row>
    <row r="40" spans="1:505" x14ac:dyDescent="0.25">
      <c r="A40"/>
      <c r="B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row>
    <row r="41" spans="1:505" x14ac:dyDescent="0.25">
      <c r="A41"/>
      <c r="B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row>
    <row r="42" spans="1:505" x14ac:dyDescent="0.25">
      <c r="A42"/>
      <c r="B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505" x14ac:dyDescent="0.25">
      <c r="A43"/>
      <c r="B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505" x14ac:dyDescent="0.25">
      <c r="A44"/>
      <c r="B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505" x14ac:dyDescent="0.25">
      <c r="A45"/>
      <c r="B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505" x14ac:dyDescent="0.25">
      <c r="A46"/>
      <c r="B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505" x14ac:dyDescent="0.25">
      <c r="A47"/>
      <c r="B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505" x14ac:dyDescent="0.25">
      <c r="A48"/>
      <c r="B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x14ac:dyDescent="0.25">
      <c r="A49"/>
      <c r="B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x14ac:dyDescent="0.25">
      <c r="A50"/>
      <c r="B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x14ac:dyDescent="0.25">
      <c r="A51"/>
      <c r="B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x14ac:dyDescent="0.25">
      <c r="A52"/>
      <c r="B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x14ac:dyDescent="0.25">
      <c r="A53"/>
      <c r="B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x14ac:dyDescent="0.25">
      <c r="A54"/>
      <c r="B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x14ac:dyDescent="0.25">
      <c r="A55"/>
      <c r="B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x14ac:dyDescent="0.25">
      <c r="A56"/>
      <c r="B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x14ac:dyDescent="0.25">
      <c r="A57"/>
      <c r="B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x14ac:dyDescent="0.25">
      <c r="A58"/>
      <c r="B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x14ac:dyDescent="0.25">
      <c r="A59"/>
      <c r="B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x14ac:dyDescent="0.25">
      <c r="A60"/>
      <c r="B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x14ac:dyDescent="0.25">
      <c r="A61"/>
      <c r="B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x14ac:dyDescent="0.25">
      <c r="A62"/>
      <c r="B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x14ac:dyDescent="0.25">
      <c r="A63"/>
      <c r="B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x14ac:dyDescent="0.25">
      <c r="A64"/>
      <c r="B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x14ac:dyDescent="0.25">
      <c r="A65"/>
      <c r="B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x14ac:dyDescent="0.25">
      <c r="A66"/>
      <c r="B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x14ac:dyDescent="0.25">
      <c r="A67"/>
      <c r="B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x14ac:dyDescent="0.25">
      <c r="A68"/>
      <c r="B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x14ac:dyDescent="0.25">
      <c r="A69"/>
      <c r="B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x14ac:dyDescent="0.25">
      <c r="A70"/>
      <c r="B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x14ac:dyDescent="0.25">
      <c r="A71"/>
      <c r="B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x14ac:dyDescent="0.25">
      <c r="A72"/>
      <c r="B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x14ac:dyDescent="0.25">
      <c r="A73"/>
      <c r="B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x14ac:dyDescent="0.25">
      <c r="A74"/>
      <c r="B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x14ac:dyDescent="0.25">
      <c r="A75"/>
      <c r="B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x14ac:dyDescent="0.25">
      <c r="A76"/>
      <c r="B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x14ac:dyDescent="0.25">
      <c r="A77"/>
      <c r="B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x14ac:dyDescent="0.25">
      <c r="A78"/>
      <c r="B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x14ac:dyDescent="0.25">
      <c r="A79"/>
      <c r="B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x14ac:dyDescent="0.25">
      <c r="A80"/>
      <c r="B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x14ac:dyDescent="0.25">
      <c r="A81"/>
      <c r="B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x14ac:dyDescent="0.25">
      <c r="A82"/>
      <c r="B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x14ac:dyDescent="0.25">
      <c r="A83"/>
      <c r="B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x14ac:dyDescent="0.25">
      <c r="A84"/>
      <c r="B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x14ac:dyDescent="0.25">
      <c r="A85"/>
      <c r="B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x14ac:dyDescent="0.25">
      <c r="A86"/>
      <c r="B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x14ac:dyDescent="0.25">
      <c r="A87"/>
      <c r="B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x14ac:dyDescent="0.25">
      <c r="A88"/>
      <c r="B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x14ac:dyDescent="0.25">
      <c r="A89"/>
      <c r="B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x14ac:dyDescent="0.25">
      <c r="A90"/>
      <c r="B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x14ac:dyDescent="0.25">
      <c r="A91"/>
      <c r="B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x14ac:dyDescent="0.25">
      <c r="A92"/>
      <c r="B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x14ac:dyDescent="0.25">
      <c r="A93"/>
      <c r="B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x14ac:dyDescent="0.25">
      <c r="A94"/>
      <c r="B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x14ac:dyDescent="0.25">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x14ac:dyDescent="0.25">
      <c r="A96"/>
      <c r="B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x14ac:dyDescent="0.25">
      <c r="A97"/>
      <c r="B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x14ac:dyDescent="0.25">
      <c r="A98"/>
      <c r="B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x14ac:dyDescent="0.25">
      <c r="A99"/>
      <c r="B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x14ac:dyDescent="0.25">
      <c r="A100"/>
      <c r="B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x14ac:dyDescent="0.25">
      <c r="A101"/>
      <c r="B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x14ac:dyDescent="0.25">
      <c r="A102"/>
      <c r="B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x14ac:dyDescent="0.25">
      <c r="A103"/>
      <c r="B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x14ac:dyDescent="0.25">
      <c r="A104"/>
      <c r="B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x14ac:dyDescent="0.25">
      <c r="A105"/>
      <c r="B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x14ac:dyDescent="0.25">
      <c r="A106"/>
      <c r="B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x14ac:dyDescent="0.25">
      <c r="A107"/>
      <c r="B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x14ac:dyDescent="0.25">
      <c r="A108"/>
      <c r="B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x14ac:dyDescent="0.25">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x14ac:dyDescent="0.25">
      <c r="A110"/>
      <c r="B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x14ac:dyDescent="0.25">
      <c r="A111"/>
      <c r="B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x14ac:dyDescent="0.25">
      <c r="A112"/>
      <c r="B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x14ac:dyDescent="0.25">
      <c r="A113"/>
      <c r="B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x14ac:dyDescent="0.25">
      <c r="A114"/>
      <c r="B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x14ac:dyDescent="0.25">
      <c r="A115"/>
      <c r="B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x14ac:dyDescent="0.25">
      <c r="A116"/>
      <c r="B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x14ac:dyDescent="0.25">
      <c r="A117"/>
      <c r="B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x14ac:dyDescent="0.25">
      <c r="A118"/>
      <c r="B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x14ac:dyDescent="0.25">
      <c r="A119"/>
      <c r="B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x14ac:dyDescent="0.25">
      <c r="A120"/>
      <c r="B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x14ac:dyDescent="0.25">
      <c r="A121"/>
      <c r="B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x14ac:dyDescent="0.25">
      <c r="A122"/>
      <c r="B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x14ac:dyDescent="0.25">
      <c r="A123"/>
      <c r="B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x14ac:dyDescent="0.25">
      <c r="A124"/>
      <c r="B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x14ac:dyDescent="0.25">
      <c r="A125"/>
      <c r="B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x14ac:dyDescent="0.25">
      <c r="A126"/>
      <c r="B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x14ac:dyDescent="0.25">
      <c r="A127"/>
      <c r="B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x14ac:dyDescent="0.25">
      <c r="A128"/>
      <c r="B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x14ac:dyDescent="0.25">
      <c r="A129"/>
      <c r="B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x14ac:dyDescent="0.25">
      <c r="A130"/>
      <c r="B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x14ac:dyDescent="0.25">
      <c r="A131"/>
      <c r="B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x14ac:dyDescent="0.25">
      <c r="A132"/>
      <c r="B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x14ac:dyDescent="0.25">
      <c r="A133"/>
      <c r="B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x14ac:dyDescent="0.25">
      <c r="A134"/>
      <c r="B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x14ac:dyDescent="0.25">
      <c r="A135"/>
      <c r="B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x14ac:dyDescent="0.25">
      <c r="A136"/>
      <c r="B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x14ac:dyDescent="0.25">
      <c r="A137"/>
      <c r="B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x14ac:dyDescent="0.25">
      <c r="A138"/>
      <c r="B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x14ac:dyDescent="0.25">
      <c r="A139"/>
      <c r="B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x14ac:dyDescent="0.25">
      <c r="A140"/>
      <c r="B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x14ac:dyDescent="0.25">
      <c r="A141"/>
      <c r="B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x14ac:dyDescent="0.25">
      <c r="A142"/>
      <c r="B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x14ac:dyDescent="0.25">
      <c r="A143"/>
      <c r="B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x14ac:dyDescent="0.25">
      <c r="A144"/>
      <c r="B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x14ac:dyDescent="0.25">
      <c r="A145"/>
      <c r="B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x14ac:dyDescent="0.25">
      <c r="A146"/>
      <c r="B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x14ac:dyDescent="0.25">
      <c r="A147"/>
      <c r="B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x14ac:dyDescent="0.25">
      <c r="A148"/>
      <c r="B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x14ac:dyDescent="0.25">
      <c r="A149"/>
      <c r="B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x14ac:dyDescent="0.25">
      <c r="A150"/>
      <c r="B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x14ac:dyDescent="0.25">
      <c r="A151"/>
      <c r="B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x14ac:dyDescent="0.25">
      <c r="A152"/>
      <c r="B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x14ac:dyDescent="0.25">
      <c r="A153"/>
      <c r="B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x14ac:dyDescent="0.25">
      <c r="A154"/>
      <c r="B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x14ac:dyDescent="0.25">
      <c r="A155"/>
      <c r="B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x14ac:dyDescent="0.25">
      <c r="A156"/>
      <c r="B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x14ac:dyDescent="0.25">
      <c r="A157"/>
      <c r="B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x14ac:dyDescent="0.25">
      <c r="A158"/>
      <c r="B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x14ac:dyDescent="0.25">
      <c r="A159"/>
      <c r="B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x14ac:dyDescent="0.25">
      <c r="A160"/>
      <c r="B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x14ac:dyDescent="0.25">
      <c r="A161"/>
      <c r="B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x14ac:dyDescent="0.25">
      <c r="A162"/>
      <c r="B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x14ac:dyDescent="0.25">
      <c r="A163"/>
      <c r="B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x14ac:dyDescent="0.25">
      <c r="A164"/>
      <c r="B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x14ac:dyDescent="0.25">
      <c r="A165"/>
      <c r="B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x14ac:dyDescent="0.25">
      <c r="A166"/>
      <c r="B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x14ac:dyDescent="0.25">
      <c r="A167"/>
      <c r="B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x14ac:dyDescent="0.25">
      <c r="A168"/>
      <c r="B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x14ac:dyDescent="0.25">
      <c r="A169"/>
      <c r="B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x14ac:dyDescent="0.25">
      <c r="A170"/>
      <c r="B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x14ac:dyDescent="0.25">
      <c r="A171"/>
      <c r="B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x14ac:dyDescent="0.25">
      <c r="A172"/>
      <c r="B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x14ac:dyDescent="0.25">
      <c r="A173"/>
      <c r="B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x14ac:dyDescent="0.25">
      <c r="A174"/>
      <c r="B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x14ac:dyDescent="0.25">
      <c r="A175"/>
      <c r="B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x14ac:dyDescent="0.25">
      <c r="A176"/>
      <c r="B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x14ac:dyDescent="0.25">
      <c r="A177"/>
      <c r="B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x14ac:dyDescent="0.25">
      <c r="A178"/>
      <c r="B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x14ac:dyDescent="0.25">
      <c r="A179"/>
      <c r="B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x14ac:dyDescent="0.25">
      <c r="A180"/>
      <c r="B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x14ac:dyDescent="0.25">
      <c r="A181"/>
      <c r="B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x14ac:dyDescent="0.25">
      <c r="A182"/>
      <c r="B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x14ac:dyDescent="0.25">
      <c r="A183"/>
      <c r="B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x14ac:dyDescent="0.25">
      <c r="A184"/>
      <c r="B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x14ac:dyDescent="0.25">
      <c r="A185"/>
      <c r="B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x14ac:dyDescent="0.25">
      <c r="A186"/>
      <c r="B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x14ac:dyDescent="0.25">
      <c r="A187"/>
      <c r="B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x14ac:dyDescent="0.25">
      <c r="A188"/>
      <c r="B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x14ac:dyDescent="0.25">
      <c r="A189"/>
      <c r="B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x14ac:dyDescent="0.25">
      <c r="A190"/>
      <c r="B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x14ac:dyDescent="0.25">
      <c r="A191"/>
      <c r="B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x14ac:dyDescent="0.25">
      <c r="A192"/>
      <c r="B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x14ac:dyDescent="0.25">
      <c r="A193"/>
      <c r="B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x14ac:dyDescent="0.25">
      <c r="A194"/>
      <c r="B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x14ac:dyDescent="0.25">
      <c r="A195"/>
      <c r="B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x14ac:dyDescent="0.25">
      <c r="A196"/>
      <c r="B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x14ac:dyDescent="0.25">
      <c r="A197"/>
      <c r="B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x14ac:dyDescent="0.25">
      <c r="A198"/>
      <c r="B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x14ac:dyDescent="0.25">
      <c r="A199"/>
      <c r="B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x14ac:dyDescent="0.25">
      <c r="A200"/>
      <c r="B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x14ac:dyDescent="0.25">
      <c r="A201"/>
      <c r="B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x14ac:dyDescent="0.25">
      <c r="A202"/>
      <c r="B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x14ac:dyDescent="0.25">
      <c r="A203"/>
      <c r="B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x14ac:dyDescent="0.25">
      <c r="A204"/>
      <c r="B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x14ac:dyDescent="0.25">
      <c r="A205"/>
      <c r="B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x14ac:dyDescent="0.25">
      <c r="A206"/>
      <c r="B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x14ac:dyDescent="0.25">
      <c r="A207"/>
      <c r="B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x14ac:dyDescent="0.25">
      <c r="A208"/>
      <c r="B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x14ac:dyDescent="0.25">
      <c r="A209"/>
      <c r="B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x14ac:dyDescent="0.25">
      <c r="A210"/>
      <c r="B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x14ac:dyDescent="0.25">
      <c r="A211"/>
      <c r="B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x14ac:dyDescent="0.25">
      <c r="A212"/>
      <c r="B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x14ac:dyDescent="0.25">
      <c r="A213"/>
      <c r="B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x14ac:dyDescent="0.25">
      <c r="A214"/>
      <c r="B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x14ac:dyDescent="0.25">
      <c r="A215"/>
      <c r="B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x14ac:dyDescent="0.25">
      <c r="A216"/>
      <c r="B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x14ac:dyDescent="0.25">
      <c r="A217"/>
      <c r="B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x14ac:dyDescent="0.25">
      <c r="A218"/>
      <c r="B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x14ac:dyDescent="0.25">
      <c r="A219"/>
      <c r="B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x14ac:dyDescent="0.25">
      <c r="A220"/>
      <c r="B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x14ac:dyDescent="0.25">
      <c r="A221"/>
      <c r="B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x14ac:dyDescent="0.25">
      <c r="A222"/>
      <c r="B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x14ac:dyDescent="0.25">
      <c r="A223"/>
      <c r="B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x14ac:dyDescent="0.25">
      <c r="A224"/>
      <c r="B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x14ac:dyDescent="0.25">
      <c r="A225"/>
      <c r="B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x14ac:dyDescent="0.25">
      <c r="A226"/>
      <c r="B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x14ac:dyDescent="0.25">
      <c r="A227"/>
      <c r="B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x14ac:dyDescent="0.25">
      <c r="A228"/>
      <c r="B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x14ac:dyDescent="0.25">
      <c r="A229"/>
      <c r="B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x14ac:dyDescent="0.25">
      <c r="A230"/>
      <c r="B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x14ac:dyDescent="0.25">
      <c r="A231"/>
      <c r="B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x14ac:dyDescent="0.25">
      <c r="A232"/>
      <c r="B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x14ac:dyDescent="0.25">
      <c r="A233"/>
      <c r="B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x14ac:dyDescent="0.25">
      <c r="A234"/>
      <c r="B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x14ac:dyDescent="0.25">
      <c r="A235"/>
      <c r="B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x14ac:dyDescent="0.25">
      <c r="A236"/>
      <c r="B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x14ac:dyDescent="0.25">
      <c r="A237"/>
      <c r="B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x14ac:dyDescent="0.25">
      <c r="A238"/>
      <c r="B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x14ac:dyDescent="0.25">
      <c r="A239"/>
      <c r="B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x14ac:dyDescent="0.25">
      <c r="A240"/>
      <c r="B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x14ac:dyDescent="0.25">
      <c r="A241"/>
      <c r="B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x14ac:dyDescent="0.25">
      <c r="A242"/>
      <c r="B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x14ac:dyDescent="0.25">
      <c r="A243"/>
      <c r="B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x14ac:dyDescent="0.25">
      <c r="A244"/>
      <c r="B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x14ac:dyDescent="0.25">
      <c r="A245"/>
      <c r="B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x14ac:dyDescent="0.25">
      <c r="A246"/>
      <c r="B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x14ac:dyDescent="0.25">
      <c r="A247"/>
      <c r="B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x14ac:dyDescent="0.25">
      <c r="A248"/>
      <c r="B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x14ac:dyDescent="0.25">
      <c r="A249"/>
      <c r="B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x14ac:dyDescent="0.25">
      <c r="A250"/>
      <c r="B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x14ac:dyDescent="0.25">
      <c r="A251"/>
      <c r="B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row>
    <row r="252" spans="1:256" x14ac:dyDescent="0.25">
      <c r="A252"/>
      <c r="B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row>
    <row r="253" spans="1:256" x14ac:dyDescent="0.25">
      <c r="A253"/>
      <c r="B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x14ac:dyDescent="0.25">
      <c r="A254"/>
      <c r="B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5" spans="1:256" x14ac:dyDescent="0.25">
      <c r="A255"/>
      <c r="B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row>
    <row r="256" spans="1:256" x14ac:dyDescent="0.25">
      <c r="A256"/>
      <c r="B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1:256" x14ac:dyDescent="0.25">
      <c r="A257"/>
      <c r="B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row>
    <row r="258" spans="1:256" x14ac:dyDescent="0.25">
      <c r="A258"/>
      <c r="B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row>
    <row r="259" spans="1:256" x14ac:dyDescent="0.25">
      <c r="A259"/>
      <c r="B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row>
    <row r="260" spans="1:256" x14ac:dyDescent="0.25">
      <c r="A260"/>
      <c r="B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row>
    <row r="261" spans="1:256" x14ac:dyDescent="0.25">
      <c r="A261"/>
      <c r="B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row>
    <row r="262" spans="1:256" x14ac:dyDescent="0.25">
      <c r="A262"/>
      <c r="B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row>
    <row r="263" spans="1:256" x14ac:dyDescent="0.25">
      <c r="A263"/>
      <c r="B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row>
    <row r="264" spans="1:256" x14ac:dyDescent="0.25">
      <c r="A264"/>
      <c r="B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row>
    <row r="265" spans="1:256" x14ac:dyDescent="0.25">
      <c r="A265"/>
      <c r="B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row>
    <row r="266" spans="1:256" x14ac:dyDescent="0.25">
      <c r="A266"/>
      <c r="B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row>
    <row r="267" spans="1:256" x14ac:dyDescent="0.25">
      <c r="A267"/>
      <c r="B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row>
    <row r="268" spans="1:256" x14ac:dyDescent="0.25">
      <c r="A268"/>
      <c r="B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row>
    <row r="269" spans="1:256" x14ac:dyDescent="0.25">
      <c r="A269"/>
      <c r="B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row>
    <row r="270" spans="1:256" x14ac:dyDescent="0.25">
      <c r="A270"/>
      <c r="B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row>
    <row r="271" spans="1:256" x14ac:dyDescent="0.25">
      <c r="A271"/>
      <c r="B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row>
    <row r="272" spans="1:256" x14ac:dyDescent="0.25">
      <c r="A272"/>
      <c r="B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row>
    <row r="273" spans="1:256" x14ac:dyDescent="0.25">
      <c r="A273"/>
      <c r="B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row>
    <row r="274" spans="1:256" x14ac:dyDescent="0.25">
      <c r="A274"/>
      <c r="B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row>
    <row r="275" spans="1:256" x14ac:dyDescent="0.25">
      <c r="A275"/>
      <c r="B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row>
    <row r="276" spans="1:256" x14ac:dyDescent="0.25">
      <c r="A276"/>
      <c r="B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row>
    <row r="277" spans="1:256" x14ac:dyDescent="0.25">
      <c r="A277"/>
      <c r="B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row>
    <row r="278" spans="1:256" x14ac:dyDescent="0.25">
      <c r="A278"/>
      <c r="B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row>
    <row r="279" spans="1:256" x14ac:dyDescent="0.25">
      <c r="A279"/>
      <c r="B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row>
    <row r="280" spans="1:256" x14ac:dyDescent="0.25">
      <c r="A280"/>
      <c r="B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row>
    <row r="281" spans="1:256" x14ac:dyDescent="0.25">
      <c r="A281"/>
      <c r="B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row>
    <row r="282" spans="1:256" x14ac:dyDescent="0.25">
      <c r="A282"/>
      <c r="B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row>
    <row r="283" spans="1:256" x14ac:dyDescent="0.25">
      <c r="A283"/>
      <c r="B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row>
    <row r="284" spans="1:256" x14ac:dyDescent="0.25">
      <c r="A284"/>
      <c r="B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row>
    <row r="285" spans="1:256" x14ac:dyDescent="0.25">
      <c r="A285"/>
      <c r="B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row>
    <row r="286" spans="1:256" x14ac:dyDescent="0.25">
      <c r="A286"/>
      <c r="B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row>
    <row r="287" spans="1:256" x14ac:dyDescent="0.25">
      <c r="A287"/>
      <c r="B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row>
    <row r="288" spans="1:256" x14ac:dyDescent="0.25">
      <c r="A288"/>
      <c r="B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row>
    <row r="289" spans="1:256" x14ac:dyDescent="0.25">
      <c r="A289"/>
      <c r="B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row>
    <row r="290" spans="1:256" x14ac:dyDescent="0.25">
      <c r="A290"/>
      <c r="B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row>
    <row r="291" spans="1:256" x14ac:dyDescent="0.25">
      <c r="A291"/>
      <c r="B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row>
    <row r="292" spans="1:256" x14ac:dyDescent="0.25">
      <c r="A292"/>
      <c r="B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row>
    <row r="293" spans="1:256" x14ac:dyDescent="0.25">
      <c r="A293"/>
      <c r="B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row>
    <row r="294" spans="1:256" x14ac:dyDescent="0.25">
      <c r="A294"/>
      <c r="B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row>
    <row r="295" spans="1:256" x14ac:dyDescent="0.25">
      <c r="A295"/>
      <c r="B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row>
    <row r="296" spans="1:256" x14ac:dyDescent="0.25">
      <c r="A296"/>
      <c r="B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row>
    <row r="297" spans="1:256" x14ac:dyDescent="0.25">
      <c r="A297"/>
      <c r="B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row>
    <row r="298" spans="1:256" x14ac:dyDescent="0.25">
      <c r="A298"/>
      <c r="B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row>
    <row r="299" spans="1:256" x14ac:dyDescent="0.25">
      <c r="A299"/>
      <c r="B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row>
    <row r="300" spans="1:256" x14ac:dyDescent="0.25">
      <c r="A300"/>
      <c r="B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row>
    <row r="301" spans="1:256" x14ac:dyDescent="0.25">
      <c r="A301"/>
      <c r="B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row>
    <row r="302" spans="1:256" x14ac:dyDescent="0.25">
      <c r="A302"/>
      <c r="B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row>
    <row r="303" spans="1:256" x14ac:dyDescent="0.25">
      <c r="A303"/>
      <c r="B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row>
    <row r="304" spans="1:256" x14ac:dyDescent="0.25">
      <c r="A304"/>
      <c r="B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row>
    <row r="305" spans="1:256" x14ac:dyDescent="0.25">
      <c r="A305"/>
      <c r="B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row>
    <row r="306" spans="1:256" x14ac:dyDescent="0.25">
      <c r="A306"/>
      <c r="B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row>
    <row r="307" spans="1:256" x14ac:dyDescent="0.25">
      <c r="A307"/>
      <c r="B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row>
    <row r="308" spans="1:256" x14ac:dyDescent="0.25">
      <c r="A308"/>
      <c r="B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row>
    <row r="309" spans="1:256" x14ac:dyDescent="0.25">
      <c r="A309"/>
      <c r="B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row>
    <row r="310" spans="1:256" x14ac:dyDescent="0.25">
      <c r="A310"/>
      <c r="B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row>
    <row r="311" spans="1:256" x14ac:dyDescent="0.25">
      <c r="A311"/>
      <c r="B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row>
    <row r="312" spans="1:256" x14ac:dyDescent="0.25">
      <c r="A312"/>
      <c r="B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row>
    <row r="313" spans="1:256" x14ac:dyDescent="0.25">
      <c r="A313"/>
      <c r="B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row>
    <row r="314" spans="1:256" x14ac:dyDescent="0.25">
      <c r="A314"/>
      <c r="B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row>
    <row r="315" spans="1:256" x14ac:dyDescent="0.25">
      <c r="A315"/>
      <c r="B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row>
    <row r="316" spans="1:256" x14ac:dyDescent="0.25">
      <c r="A316"/>
      <c r="B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row>
    <row r="317" spans="1:256" x14ac:dyDescent="0.25">
      <c r="A317"/>
      <c r="B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row>
    <row r="318" spans="1:256" x14ac:dyDescent="0.25">
      <c r="A318"/>
      <c r="B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row>
    <row r="319" spans="1:256" x14ac:dyDescent="0.25">
      <c r="A319"/>
      <c r="B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row>
    <row r="320" spans="1:256" x14ac:dyDescent="0.25">
      <c r="A320"/>
      <c r="B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row>
    <row r="321" spans="1:256" x14ac:dyDescent="0.25">
      <c r="A321"/>
      <c r="B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row>
    <row r="322" spans="1:256" x14ac:dyDescent="0.25">
      <c r="A322"/>
      <c r="B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row>
    <row r="323" spans="1:256" x14ac:dyDescent="0.25">
      <c r="A323"/>
      <c r="B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row>
    <row r="324" spans="1:256" x14ac:dyDescent="0.25">
      <c r="A324"/>
      <c r="B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row>
    <row r="325" spans="1:256" x14ac:dyDescent="0.25">
      <c r="A325"/>
      <c r="B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row>
    <row r="326" spans="1:256" x14ac:dyDescent="0.25">
      <c r="A326"/>
      <c r="B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row>
    <row r="327" spans="1:256" x14ac:dyDescent="0.25">
      <c r="A327"/>
      <c r="B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row>
    <row r="328" spans="1:256" x14ac:dyDescent="0.25">
      <c r="A328"/>
      <c r="B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row>
    <row r="329" spans="1:256" x14ac:dyDescent="0.25">
      <c r="A329"/>
      <c r="B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row>
    <row r="330" spans="1:256" x14ac:dyDescent="0.25">
      <c r="A330"/>
      <c r="B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row>
    <row r="331" spans="1:256" x14ac:dyDescent="0.25">
      <c r="A331"/>
      <c r="B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row>
    <row r="332" spans="1:256" x14ac:dyDescent="0.25">
      <c r="A332"/>
      <c r="B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row>
    <row r="333" spans="1:256" x14ac:dyDescent="0.25">
      <c r="A333"/>
      <c r="B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row>
    <row r="334" spans="1:256" x14ac:dyDescent="0.25">
      <c r="A334"/>
      <c r="B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row>
    <row r="335" spans="1:256" x14ac:dyDescent="0.25">
      <c r="A335"/>
      <c r="B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row>
    <row r="336" spans="1:256" x14ac:dyDescent="0.25">
      <c r="A336"/>
      <c r="B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row>
    <row r="337" spans="1:256" x14ac:dyDescent="0.25">
      <c r="A337"/>
      <c r="B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row>
    <row r="338" spans="1:256" x14ac:dyDescent="0.25">
      <c r="A338"/>
      <c r="B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row>
    <row r="339" spans="1:256" x14ac:dyDescent="0.25">
      <c r="A339"/>
      <c r="B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row>
    <row r="340" spans="1:256" x14ac:dyDescent="0.25">
      <c r="A340"/>
      <c r="B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row>
    <row r="341" spans="1:256" x14ac:dyDescent="0.25">
      <c r="A341"/>
      <c r="B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row>
    <row r="342" spans="1:256" x14ac:dyDescent="0.25">
      <c r="A342"/>
      <c r="B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row>
    <row r="343" spans="1:256" x14ac:dyDescent="0.25">
      <c r="A343"/>
      <c r="B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row>
    <row r="344" spans="1:256" x14ac:dyDescent="0.25">
      <c r="A344"/>
      <c r="B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row>
    <row r="345" spans="1:256" x14ac:dyDescent="0.25">
      <c r="A345"/>
      <c r="B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row>
    <row r="346" spans="1:256" x14ac:dyDescent="0.25">
      <c r="A346"/>
      <c r="B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row>
    <row r="347" spans="1:256" x14ac:dyDescent="0.25">
      <c r="A347"/>
      <c r="B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row>
    <row r="348" spans="1:256" x14ac:dyDescent="0.25">
      <c r="A348"/>
      <c r="B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row>
    <row r="349" spans="1:256" x14ac:dyDescent="0.25">
      <c r="A349"/>
      <c r="B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row>
    <row r="350" spans="1:256" x14ac:dyDescent="0.25">
      <c r="A350"/>
      <c r="B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row>
    <row r="351" spans="1:256" x14ac:dyDescent="0.25">
      <c r="A351"/>
      <c r="B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row>
    <row r="352" spans="1:256" x14ac:dyDescent="0.25">
      <c r="A352"/>
      <c r="B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row>
    <row r="353" spans="1:256" x14ac:dyDescent="0.25">
      <c r="A353"/>
      <c r="B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row>
    <row r="354" spans="1:256" x14ac:dyDescent="0.25">
      <c r="A354"/>
      <c r="B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row>
    <row r="355" spans="1:256" x14ac:dyDescent="0.25">
      <c r="A355"/>
      <c r="B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row>
    <row r="356" spans="1:256" x14ac:dyDescent="0.25">
      <c r="A356"/>
      <c r="B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row>
    <row r="357" spans="1:256" x14ac:dyDescent="0.25">
      <c r="A357"/>
      <c r="B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row>
    <row r="358" spans="1:256" x14ac:dyDescent="0.25">
      <c r="A358"/>
      <c r="B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row>
    <row r="359" spans="1:256" x14ac:dyDescent="0.25">
      <c r="A359"/>
      <c r="B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row>
    <row r="360" spans="1:256" x14ac:dyDescent="0.25">
      <c r="A360"/>
      <c r="B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c r="EZ360"/>
      <c r="FA360"/>
      <c r="FB360"/>
      <c r="FC360"/>
      <c r="FD360"/>
      <c r="FE360"/>
      <c r="FF360"/>
      <c r="FG360"/>
      <c r="FH360"/>
      <c r="FI360"/>
      <c r="FJ360"/>
      <c r="FK360"/>
      <c r="FL360"/>
      <c r="FM360"/>
      <c r="FN360"/>
      <c r="FO360"/>
      <c r="FP360"/>
      <c r="FQ360"/>
      <c r="FR360"/>
      <c r="FS360"/>
      <c r="FT360"/>
      <c r="FU360"/>
      <c r="FV360"/>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row>
    <row r="361" spans="1:256" x14ac:dyDescent="0.25">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row>
    <row r="362" spans="1:256" x14ac:dyDescent="0.25">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row>
    <row r="363" spans="1:256" x14ac:dyDescent="0.25">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row>
    <row r="364" spans="1:256" x14ac:dyDescent="0.25">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c r="EZ364"/>
      <c r="FA364"/>
      <c r="FB364"/>
      <c r="FC364"/>
      <c r="FD364"/>
      <c r="FE364"/>
      <c r="FF364"/>
      <c r="FG364"/>
      <c r="FH364"/>
      <c r="FI364"/>
      <c r="FJ364"/>
      <c r="FK364"/>
      <c r="FL364"/>
      <c r="FM364"/>
      <c r="FN364"/>
      <c r="FO364"/>
      <c r="FP364"/>
      <c r="FQ364"/>
      <c r="FR364"/>
      <c r="FS364"/>
      <c r="FT364"/>
      <c r="FU364"/>
      <c r="FV36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row>
    <row r="365" spans="1:256" x14ac:dyDescent="0.2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row>
    <row r="366" spans="1:256" x14ac:dyDescent="0.25">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c r="EX366"/>
      <c r="EY366"/>
      <c r="EZ366"/>
      <c r="FA366"/>
      <c r="FB366"/>
      <c r="FC366"/>
      <c r="FD366"/>
      <c r="FE366"/>
      <c r="FF366"/>
      <c r="FG366"/>
      <c r="FH366"/>
      <c r="FI366"/>
      <c r="FJ366"/>
      <c r="FK366"/>
      <c r="FL366"/>
      <c r="FM366"/>
      <c r="FN366"/>
      <c r="FO366"/>
      <c r="FP366"/>
      <c r="FQ366"/>
      <c r="FR366"/>
      <c r="FS366"/>
      <c r="FT366"/>
      <c r="FU366"/>
      <c r="FV366"/>
      <c r="FW366"/>
      <c r="FX366"/>
      <c r="FY366"/>
      <c r="FZ366"/>
      <c r="GA366"/>
      <c r="GB366"/>
      <c r="GC366"/>
      <c r="GD366"/>
      <c r="GE366"/>
      <c r="GF366"/>
      <c r="GG366"/>
      <c r="GH366"/>
      <c r="GI366"/>
      <c r="GJ366"/>
      <c r="GK366"/>
      <c r="GL366"/>
      <c r="GM366"/>
      <c r="GN366"/>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c r="IS366"/>
      <c r="IT366"/>
      <c r="IU366"/>
      <c r="IV366"/>
    </row>
    <row r="367" spans="1:256" x14ac:dyDescent="0.25">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c r="EX367"/>
      <c r="EY367"/>
      <c r="EZ367"/>
      <c r="FA367"/>
      <c r="FB367"/>
      <c r="FC367"/>
      <c r="FD367"/>
      <c r="FE367"/>
      <c r="FF367"/>
      <c r="FG367"/>
      <c r="FH367"/>
      <c r="FI367"/>
      <c r="FJ367"/>
      <c r="FK367"/>
      <c r="FL367"/>
      <c r="FM367"/>
      <c r="FN367"/>
      <c r="FO367"/>
      <c r="FP367"/>
      <c r="FQ367"/>
      <c r="FR367"/>
      <c r="FS367"/>
      <c r="FT367"/>
      <c r="FU367"/>
      <c r="FV367"/>
      <c r="FW367"/>
      <c r="FX367"/>
      <c r="FY367"/>
      <c r="FZ367"/>
      <c r="GA367"/>
      <c r="GB367"/>
      <c r="GC367"/>
      <c r="GD367"/>
      <c r="GE367"/>
      <c r="GF367"/>
      <c r="GG367"/>
      <c r="GH367"/>
      <c r="GI367"/>
      <c r="GJ367"/>
      <c r="GK367"/>
      <c r="GL367"/>
      <c r="GM367"/>
      <c r="GN367"/>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row>
    <row r="368" spans="1:256" x14ac:dyDescent="0.25">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c r="EX368"/>
      <c r="EY368"/>
      <c r="EZ368"/>
      <c r="FA368"/>
      <c r="FB368"/>
      <c r="FC368"/>
      <c r="FD368"/>
      <c r="FE368"/>
      <c r="FF368"/>
      <c r="FG368"/>
      <c r="FH368"/>
      <c r="FI368"/>
      <c r="FJ368"/>
      <c r="FK368"/>
      <c r="FL368"/>
      <c r="FM368"/>
      <c r="FN368"/>
      <c r="FO368"/>
      <c r="FP368"/>
      <c r="FQ368"/>
      <c r="FR368"/>
      <c r="FS368"/>
      <c r="FT368"/>
      <c r="FU368"/>
      <c r="FV368"/>
      <c r="FW368"/>
      <c r="FX368"/>
      <c r="FY368"/>
      <c r="FZ368"/>
      <c r="GA368"/>
      <c r="GB368"/>
      <c r="GC368"/>
      <c r="GD368"/>
      <c r="GE368"/>
      <c r="GF368"/>
      <c r="GG368"/>
      <c r="GH368"/>
      <c r="GI368"/>
      <c r="GJ368"/>
      <c r="GK368"/>
      <c r="GL368"/>
      <c r="GM368"/>
      <c r="GN368"/>
      <c r="GO368"/>
      <c r="GP368"/>
      <c r="GQ368"/>
      <c r="GR368"/>
      <c r="GS368"/>
      <c r="GT368"/>
      <c r="GU368"/>
      <c r="GV368"/>
      <c r="GW368"/>
      <c r="GX368"/>
      <c r="GY368"/>
      <c r="GZ368"/>
      <c r="HA368"/>
      <c r="HB368"/>
      <c r="HC368"/>
      <c r="HD368"/>
      <c r="HE368"/>
      <c r="HF368"/>
      <c r="HG368"/>
      <c r="HH368"/>
      <c r="HI368"/>
      <c r="HJ368"/>
      <c r="HK368"/>
      <c r="HL368"/>
      <c r="HM368"/>
      <c r="HN368"/>
      <c r="HO368"/>
      <c r="HP368"/>
      <c r="HQ368"/>
      <c r="HR368"/>
      <c r="HS368"/>
      <c r="HT368"/>
      <c r="HU368"/>
      <c r="HV368"/>
      <c r="HW368"/>
      <c r="HX368"/>
      <c r="HY368"/>
      <c r="HZ368"/>
      <c r="IA368"/>
      <c r="IB368"/>
      <c r="IC368"/>
      <c r="ID368"/>
      <c r="IE368"/>
      <c r="IF368"/>
      <c r="IG368"/>
      <c r="IH368"/>
      <c r="II368"/>
      <c r="IJ368"/>
      <c r="IK368"/>
      <c r="IL368"/>
      <c r="IM368"/>
      <c r="IN368"/>
      <c r="IO368"/>
      <c r="IP368"/>
      <c r="IQ368"/>
      <c r="IR368"/>
      <c r="IS368"/>
      <c r="IT368"/>
      <c r="IU368"/>
      <c r="IV368"/>
    </row>
    <row r="369" spans="7:256" x14ac:dyDescent="0.25">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c r="EX369"/>
      <c r="EY369"/>
      <c r="EZ369"/>
      <c r="FA369"/>
      <c r="FB369"/>
      <c r="FC369"/>
      <c r="FD369"/>
      <c r="FE369"/>
      <c r="FF369"/>
      <c r="FG369"/>
      <c r="FH369"/>
      <c r="FI369"/>
      <c r="FJ369"/>
      <c r="FK369"/>
      <c r="FL369"/>
      <c r="FM369"/>
      <c r="FN369"/>
      <c r="FO369"/>
      <c r="FP369"/>
      <c r="FQ369"/>
      <c r="FR369"/>
      <c r="FS369"/>
      <c r="FT369"/>
      <c r="FU369"/>
      <c r="FV369"/>
      <c r="FW369"/>
      <c r="FX369"/>
      <c r="FY369"/>
      <c r="FZ369"/>
      <c r="GA369"/>
      <c r="GB369"/>
      <c r="GC369"/>
      <c r="GD369"/>
      <c r="GE369"/>
      <c r="GF369"/>
      <c r="GG369"/>
      <c r="GH369"/>
      <c r="GI369"/>
      <c r="GJ369"/>
      <c r="GK369"/>
      <c r="GL369"/>
      <c r="GM369"/>
      <c r="GN369"/>
      <c r="GO369"/>
      <c r="GP369"/>
      <c r="GQ369"/>
      <c r="GR369"/>
      <c r="GS369"/>
      <c r="GT369"/>
      <c r="GU369"/>
      <c r="GV369"/>
      <c r="GW369"/>
      <c r="GX369"/>
      <c r="GY369"/>
      <c r="GZ369"/>
      <c r="HA369"/>
      <c r="HB369"/>
      <c r="HC369"/>
      <c r="HD369"/>
      <c r="HE369"/>
      <c r="HF369"/>
      <c r="HG369"/>
      <c r="HH369"/>
      <c r="HI369"/>
      <c r="HJ369"/>
      <c r="HK369"/>
      <c r="HL369"/>
      <c r="HM369"/>
      <c r="HN369"/>
      <c r="HO369"/>
      <c r="HP369"/>
      <c r="HQ369"/>
      <c r="HR369"/>
      <c r="HS369"/>
      <c r="HT369"/>
      <c r="HU369"/>
      <c r="HV369"/>
      <c r="HW369"/>
      <c r="HX369"/>
      <c r="HY369"/>
      <c r="HZ369"/>
      <c r="IA369"/>
      <c r="IB369"/>
      <c r="IC369"/>
      <c r="ID369"/>
      <c r="IE369"/>
      <c r="IF369"/>
      <c r="IG369"/>
      <c r="IH369"/>
      <c r="II369"/>
      <c r="IJ369"/>
      <c r="IK369"/>
      <c r="IL369"/>
      <c r="IM369"/>
      <c r="IN369"/>
      <c r="IO369"/>
      <c r="IP369"/>
      <c r="IQ369"/>
      <c r="IR369"/>
      <c r="IS369"/>
      <c r="IT369"/>
      <c r="IU369"/>
      <c r="IV369"/>
    </row>
    <row r="370" spans="7:256" x14ac:dyDescent="0.25">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c r="EX370"/>
      <c r="EY370"/>
      <c r="EZ370"/>
      <c r="FA370"/>
      <c r="FB370"/>
      <c r="FC370"/>
      <c r="FD370"/>
      <c r="FE370"/>
      <c r="FF370"/>
      <c r="FG370"/>
      <c r="FH370"/>
      <c r="FI370"/>
      <c r="FJ370"/>
      <c r="FK370"/>
      <c r="FL370"/>
      <c r="FM370"/>
      <c r="FN370"/>
      <c r="FO370"/>
      <c r="FP370"/>
      <c r="FQ370"/>
      <c r="FR370"/>
      <c r="FS370"/>
      <c r="FT370"/>
      <c r="FU370"/>
      <c r="FV370"/>
      <c r="FW370"/>
      <c r="FX370"/>
      <c r="FY370"/>
      <c r="FZ370"/>
      <c r="GA370"/>
      <c r="GB370"/>
      <c r="GC370"/>
      <c r="GD370"/>
      <c r="GE370"/>
      <c r="GF370"/>
      <c r="GG370"/>
      <c r="GH370"/>
      <c r="GI370"/>
      <c r="GJ370"/>
      <c r="GK370"/>
      <c r="GL370"/>
      <c r="GM370"/>
      <c r="GN370"/>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c r="IN370"/>
      <c r="IO370"/>
      <c r="IP370"/>
      <c r="IQ370"/>
      <c r="IR370"/>
      <c r="IS370"/>
      <c r="IT370"/>
      <c r="IU370"/>
      <c r="IV370"/>
    </row>
    <row r="371" spans="7:256" x14ac:dyDescent="0.25">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row>
    <row r="372" spans="7:256" x14ac:dyDescent="0.25">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row>
    <row r="373" spans="7:256" x14ac:dyDescent="0.25">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c r="EX373"/>
      <c r="EY373"/>
      <c r="EZ373"/>
      <c r="FA373"/>
      <c r="FB373"/>
      <c r="FC373"/>
      <c r="FD373"/>
      <c r="FE373"/>
      <c r="FF373"/>
      <c r="FG373"/>
      <c r="FH373"/>
      <c r="FI373"/>
      <c r="FJ373"/>
      <c r="FK373"/>
      <c r="FL373"/>
      <c r="FM373"/>
      <c r="FN373"/>
      <c r="FO373"/>
      <c r="FP373"/>
      <c r="FQ373"/>
      <c r="FR373"/>
      <c r="FS373"/>
      <c r="FT373"/>
      <c r="FU373"/>
      <c r="FV373"/>
      <c r="FW373"/>
      <c r="FX373"/>
      <c r="FY373"/>
      <c r="FZ373"/>
      <c r="GA373"/>
      <c r="GB373"/>
      <c r="GC373"/>
      <c r="GD373"/>
      <c r="GE373"/>
      <c r="GF373"/>
      <c r="GG373"/>
      <c r="GH373"/>
      <c r="GI373"/>
      <c r="GJ373"/>
      <c r="GK373"/>
      <c r="GL373"/>
      <c r="GM373"/>
      <c r="GN373"/>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row>
  </sheetData>
  <conditionalFormatting pivot="1" sqref="F8">
    <cfRule type="colorScale" priority="6">
      <colorScale>
        <cfvo type="min"/>
        <cfvo type="max"/>
        <color rgb="FFFF7128"/>
        <color theme="7" tint="-0.249977111117893"/>
      </colorScale>
    </cfRule>
  </conditionalFormatting>
  <conditionalFormatting pivot="1" sqref="B14">
    <cfRule type="colorScale" priority="5">
      <colorScale>
        <cfvo type="min"/>
        <cfvo type="max"/>
        <color rgb="FFFF7128"/>
        <color theme="7" tint="-0.249977111117893"/>
      </colorScale>
    </cfRule>
  </conditionalFormatting>
  <conditionalFormatting pivot="1" sqref="M8">
    <cfRule type="colorScale" priority="4">
      <colorScale>
        <cfvo type="min"/>
        <cfvo type="max"/>
        <color rgb="FFFF7128"/>
        <color rgb="FF712C0D"/>
      </colorScale>
    </cfRule>
  </conditionalFormatting>
  <conditionalFormatting pivot="1" sqref="F8">
    <cfRule type="colorScale" priority="3">
      <colorScale>
        <cfvo type="min"/>
        <cfvo type="max"/>
        <color rgb="FFFF7128"/>
        <color rgb="FF712C0D"/>
      </colorScale>
    </cfRule>
  </conditionalFormatting>
  <conditionalFormatting pivot="1" sqref="B14">
    <cfRule type="colorScale" priority="2">
      <colorScale>
        <cfvo type="min"/>
        <cfvo type="max"/>
        <color rgb="FFFF7128"/>
        <color rgb="FF712C0D"/>
      </colorScale>
    </cfRule>
  </conditionalFormatting>
  <conditionalFormatting pivot="1" sqref="I13">
    <cfRule type="colorScale" priority="1">
      <colorScale>
        <cfvo type="min"/>
        <cfvo type="max"/>
        <color rgb="FFFF7128"/>
        <color rgb="FF712C0D"/>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2CEE-2317-4063-AB91-2AACFA274CDC}">
  <dimension ref="A1"/>
  <sheetViews>
    <sheetView topLeftCell="A10" workbookViewId="0">
      <selection activeCell="H24" sqref="H24"/>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9972-EDEC-4C48-982E-E41990FC60A3}">
  <dimension ref="M2:R6"/>
  <sheetViews>
    <sheetView showGridLines="0" showRowColHeaders="0" tabSelected="1" zoomScale="91" zoomScaleNormal="91" workbookViewId="0">
      <selection activeCell="K50" sqref="K50"/>
    </sheetView>
  </sheetViews>
  <sheetFormatPr defaultRowHeight="15" x14ac:dyDescent="0.25"/>
  <sheetData>
    <row r="2" spans="13:18" x14ac:dyDescent="0.25">
      <c r="M2" s="2"/>
    </row>
    <row r="6" spans="13:18" x14ac:dyDescent="0.25">
      <c r="R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vt:lpstr>
      <vt:lpstr>Pivot chart</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Rahman Azeezat Taiwo</cp:lastModifiedBy>
  <dcterms:created xsi:type="dcterms:W3CDTF">2024-07-28T02:49:23Z</dcterms:created>
  <dcterms:modified xsi:type="dcterms:W3CDTF">2026-06-08T11:50:31Z</dcterms:modified>
  <cp:category/>
</cp:coreProperties>
</file>